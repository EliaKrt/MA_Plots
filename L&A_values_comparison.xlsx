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rojectUNIQUE/Shared Documents/15_Students/03_Elia_Krutti/05_Development/MA_Plots/"/>
    </mc:Choice>
  </mc:AlternateContent>
  <xr:revisionPtr revIDLastSave="177" documentId="11_B2F5AAEE648E5032AFEF4390A59B03194AC3AC76" xr6:coauthVersionLast="47" xr6:coauthVersionMax="47" xr10:uidLastSave="{9A03F0AB-7D7E-4EB2-9AC9-8F5A577DB84F}"/>
  <bookViews>
    <workbookView xWindow="-96" yWindow="-96" windowWidth="23232" windowHeight="12432" xr2:uid="{00000000-000D-0000-FFFF-FFFF00000000}"/>
  </bookViews>
  <sheets>
    <sheet name="Comparison" sheetId="7" r:id="rId1"/>
    <sheet name="Concept 1" sheetId="2" r:id="rId2"/>
    <sheet name="Concept 2" sheetId="3" r:id="rId3"/>
    <sheet name="Concept 3" sheetId="1" r:id="rId4"/>
    <sheet name="Reference_A" sheetId="4" r:id="rId5"/>
    <sheet name="Reference_SA" sheetId="5" r:id="rId6"/>
    <sheet name="Reference_LAS" sheetId="6" r:id="rId7"/>
    <sheet name="Reference_LA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3" i="8" l="1"/>
  <c r="J33" i="8"/>
  <c r="I33" i="8"/>
  <c r="H33" i="8"/>
  <c r="G33" i="8"/>
  <c r="F33" i="8"/>
  <c r="E33" i="8"/>
  <c r="D33" i="8"/>
  <c r="C33" i="8"/>
  <c r="B33" i="8"/>
  <c r="K32" i="8"/>
  <c r="J32" i="8"/>
  <c r="I32" i="8"/>
  <c r="H32" i="8"/>
  <c r="G32" i="8"/>
  <c r="F32" i="8"/>
  <c r="E32" i="8"/>
  <c r="D32" i="8"/>
  <c r="C32" i="8"/>
  <c r="B32" i="8"/>
  <c r="K33" i="6" l="1"/>
  <c r="J33" i="6"/>
  <c r="I33" i="6"/>
  <c r="H33" i="6"/>
  <c r="G33" i="6"/>
  <c r="F33" i="6"/>
  <c r="E33" i="6"/>
  <c r="D33" i="6"/>
  <c r="C33" i="6"/>
  <c r="B33" i="6"/>
  <c r="K32" i="6"/>
  <c r="J32" i="6"/>
  <c r="I32" i="6"/>
  <c r="H32" i="6"/>
  <c r="G32" i="6"/>
  <c r="F32" i="6"/>
  <c r="E32" i="6"/>
  <c r="D32" i="6"/>
  <c r="C32" i="6"/>
  <c r="B32" i="6"/>
  <c r="K33" i="5" l="1"/>
  <c r="J33" i="5"/>
  <c r="I33" i="5"/>
  <c r="H33" i="5"/>
  <c r="G33" i="5"/>
  <c r="F33" i="5"/>
  <c r="E33" i="5"/>
  <c r="D33" i="5"/>
  <c r="C33" i="5"/>
  <c r="B33" i="5"/>
  <c r="K32" i="5"/>
  <c r="J32" i="5"/>
  <c r="I32" i="5"/>
  <c r="H32" i="5"/>
  <c r="G32" i="5"/>
  <c r="F32" i="5"/>
  <c r="E32" i="5"/>
  <c r="D32" i="5"/>
  <c r="C32" i="5"/>
  <c r="B32" i="5"/>
  <c r="K33" i="4" l="1"/>
  <c r="J33" i="4"/>
  <c r="I33" i="4"/>
  <c r="H33" i="4"/>
  <c r="G33" i="4"/>
  <c r="F33" i="4"/>
  <c r="E33" i="4"/>
  <c r="D33" i="4"/>
  <c r="C33" i="4"/>
  <c r="B33" i="4"/>
  <c r="K32" i="4"/>
  <c r="J32" i="4"/>
  <c r="I32" i="4"/>
  <c r="H32" i="4"/>
  <c r="G32" i="4"/>
  <c r="F32" i="4"/>
  <c r="E32" i="4"/>
  <c r="D32" i="4"/>
  <c r="C32" i="4"/>
  <c r="B32" i="4"/>
  <c r="K14" i="3" l="1"/>
  <c r="J14" i="3"/>
  <c r="I14" i="3"/>
  <c r="H14" i="3"/>
  <c r="G14" i="3"/>
  <c r="F14" i="3"/>
  <c r="E14" i="3"/>
  <c r="D14" i="3"/>
  <c r="C14" i="3"/>
  <c r="B14" i="3"/>
  <c r="K6" i="3"/>
  <c r="J6" i="3"/>
  <c r="I6" i="3"/>
  <c r="H6" i="3"/>
  <c r="G6" i="3"/>
  <c r="F6" i="3"/>
  <c r="E6" i="3"/>
  <c r="D6" i="3"/>
  <c r="C6" i="3"/>
  <c r="B6" i="3"/>
  <c r="K14" i="2"/>
  <c r="J14" i="2"/>
  <c r="I14" i="2"/>
  <c r="H14" i="2"/>
  <c r="G14" i="2"/>
  <c r="F14" i="2"/>
  <c r="E14" i="2"/>
  <c r="D14" i="2"/>
  <c r="C14" i="2"/>
  <c r="B14" i="2"/>
  <c r="K9" i="2"/>
  <c r="J9" i="2"/>
  <c r="I9" i="2"/>
  <c r="H9" i="2"/>
  <c r="G9" i="2"/>
  <c r="F9" i="2"/>
  <c r="E9" i="2"/>
  <c r="D9" i="2"/>
  <c r="C9" i="2"/>
  <c r="B9" i="2"/>
  <c r="C12" i="1"/>
  <c r="D12" i="1"/>
  <c r="E12" i="1"/>
  <c r="F12" i="1"/>
  <c r="G12" i="1"/>
  <c r="H12" i="1"/>
  <c r="I12" i="1"/>
  <c r="J12" i="1"/>
  <c r="K12" i="1"/>
  <c r="B12" i="1"/>
  <c r="C9" i="1"/>
  <c r="D9" i="1"/>
  <c r="E9" i="1"/>
  <c r="F9" i="1"/>
  <c r="G9" i="1"/>
  <c r="H9" i="1"/>
  <c r="I9" i="1"/>
  <c r="J9" i="1"/>
  <c r="K9" i="1"/>
  <c r="B9" i="1"/>
</calcChain>
</file>

<file path=xl/sharedStrings.xml><?xml version="1.0" encoding="utf-8"?>
<sst xmlns="http://schemas.openxmlformats.org/spreadsheetml/2006/main" count="234" uniqueCount="154">
  <si>
    <t>filename</t>
  </si>
  <si>
    <t>FT_SensorPad · AjustToPressurePoint1 Pressure</t>
  </si>
  <si>
    <t>FT_SensorPad · AjustToPressurePoint1 Force</t>
  </si>
  <si>
    <t>FT_SensorPad · AjustToPressurePoint2 Pressure</t>
  </si>
  <si>
    <t>FT_SensorPad · AjustToPressurePoint2 Force</t>
  </si>
  <si>
    <t>FT_SensorPad · AjustToPressurePoint3 Pressure</t>
  </si>
  <si>
    <t>FT_SensorPad · AjustToPressurePoint3 Force</t>
  </si>
  <si>
    <t>FT_SensorPad · AjustToPressuretPoint4 Pressure</t>
  </si>
  <si>
    <t>FT_SensorPad · AjustToPressuretPoint4 Force</t>
  </si>
  <si>
    <t>FT_SensorPad · AjustToPressuretPoint5 Pressure</t>
  </si>
  <si>
    <t>FT_SensorPad · AjustToPressuretPoint5 Force</t>
  </si>
  <si>
    <t>report_453564902411-NoDHR_AMC_EK_08_12_clamped_depbblhps2dt28n__[20261015_163954].xml</t>
  </si>
  <si>
    <t>report_453564902411-NoDHR_AMC_EK_08_13_depbblhps2dt28n__[20261015_153450].xml</t>
  </si>
  <si>
    <t>report_453564902411-NoDHR_AMC_EK_08_12_depbblhps2dt28n__[20261015_151418].xml</t>
  </si>
  <si>
    <t>report_453564902411-NoDHR_AMC_EK_08_11_depbblhps2dt28n__[20261015_150327].xml</t>
  </si>
  <si>
    <t>report_453564902411-NoDHR_BF4ADSP925_depbblhps2dt28n__[20261014_114136].xml</t>
  </si>
  <si>
    <t>report_453564902411-NoDHR_AMC_EK_08_04_depbblhps2dt28n__[20261014_113133].xml</t>
  </si>
  <si>
    <t>report_453564902411-NoDHR_AMC_EK_08_06_depbblhps2dt28n__[20261014_111939].xml</t>
  </si>
  <si>
    <t>report_453564902411-NoDHR_AMC_EK_08_04_depbblhps2dt28n__[20261014_102309].xml</t>
  </si>
  <si>
    <t>Average</t>
  </si>
  <si>
    <t>report_453564902411-NoDHR_AMC_EK_05_131_depbblhps2dt28n__[20260915_113756].xml</t>
  </si>
  <si>
    <t>report_453564902411-NoDHR_AMC_EK_05_133_depbblhps2dt28n__[20260915_112057].xml</t>
  </si>
  <si>
    <t>report_453564902411-NoDHR_AMC_EK_05_129_depbblhps2dt28n__[20260915_111235].xml</t>
  </si>
  <si>
    <t>report_453564902411-NoDHR_AMC_EK_05_116_depbblhps2dt28n__[20260915_110350].xml</t>
  </si>
  <si>
    <t>report_453564902411-NoDHR_AMC_EK_05_130_depbblhps2dt28n__[20260915_104510].xml</t>
  </si>
  <si>
    <t>report_453564902411-NoDHR_AMC_EK_05_94_depbblhps2dt28n__[20260827_155536].xml</t>
  </si>
  <si>
    <t>report_453564902411-NoDHR_AMC_EK_05_96_depbblhps2dt28n__[20260827_153445].xml</t>
  </si>
  <si>
    <t>report_453564902411-NoDHR_LAS_SP_02_depbblhps2dt28n__[20260827_151051].xml</t>
  </si>
  <si>
    <t>report_453564902411-NoDHR_LAS_SP_01_depbblhps2dt28n__[20260827_150506].xml</t>
  </si>
  <si>
    <t>report_453564902411-NoDHR_AMC_EK_02_depbblhps2dt28n__[20260818_162914].xml</t>
  </si>
  <si>
    <t>report_453564902411-NoDHR_AMC_EK_04_depbblhps2dt28n__[20260818_162318].xml</t>
  </si>
  <si>
    <t>report_453564902411-NoDHR_AMC_EK_03_depbblhps2dt28n__[20260818_161515].xml</t>
  </si>
  <si>
    <t>report_453564902411-NoDHR_AMC_EK_05_depbblhps2dt28n__[20260818_155958].xml</t>
  </si>
  <si>
    <t>STD</t>
  </si>
  <si>
    <t>report_453564902781_Run3-NoDHR_BAF4ADSP987_depbblhps2dt28n__[20260622_135705].xml</t>
  </si>
  <si>
    <t>report_453564902781_Run3-NoDHR_BAF4ADSP986_depbblhps2dt28n__[20260622_135334].xml</t>
  </si>
  <si>
    <t>report_453564902781_Run3-NoDHR_BAF4ADSP989_depbblhps2dt28n__[20260622_134830].xml</t>
  </si>
  <si>
    <t>report_453564902781_Run3-NoDHR_BAF4ADSP992_depbblhps2dt28n__[20260622_134516].xml</t>
  </si>
  <si>
    <t>report_453564902781_Run3-NoDHR_BAF4ADSP993_depbblhps2dt28n__[20260622_134139].xml</t>
  </si>
  <si>
    <t>report_453564902781_Run3-NoDHR_BAF4ADSP990_depbblhps2dt28n__[20260622_133819].xml</t>
  </si>
  <si>
    <t>report_453564902781_Run3-NoDHR_BAF4ADSP988_depbblhps2dt28n__[20260622_133510].xml</t>
  </si>
  <si>
    <t>report_453564902781_Run3-NoDHR_BAF4ADSP994_depbblhps2dt28n__[20260622_133145].xml</t>
  </si>
  <si>
    <t>report_453564902781_Run3-NoDHR_BAF4ADSP985_depbblhps2dt28n__[20260622_132748].xml</t>
  </si>
  <si>
    <t>report_453564902781_Run3-NoDHR_BAF4ADSP991_depbblhps2dt28n__[20260622_132432].xml</t>
  </si>
  <si>
    <t>report_453564902781_Run2-NoDHR_BAF4ADSP992_depbblhps2dt28n__[20260622_132037].xml</t>
  </si>
  <si>
    <t>report_453564902781_Run2-NoDHR_BAF4ADSP985_depbblhps2dt28n__[20260622_123200].xml</t>
  </si>
  <si>
    <t>report_453564902781_Run2-NoDHR_BAF4ADSP986_depbblhps2dt28n__[20260622_122846].xml</t>
  </si>
  <si>
    <t>report_453564902781_Run2-NoDHR_BAF4ADSP989_depbblhps2dt28n__[20260622_122544].xml</t>
  </si>
  <si>
    <t>report_453564902781_Run2-NoDHR_BAF4ADSP988_depbblhps2dt28n__[20260622_122239].xml</t>
  </si>
  <si>
    <t>report_453564902781_Run2-NoDHR_BAF4ADSP991_depbblhps2dt28n__[20260622_121921].xml</t>
  </si>
  <si>
    <t>report_453564902781_Run2-NoDHR_BAF4ADSP990_depbblhps2dt28n__[20260622_121612].xml</t>
  </si>
  <si>
    <t>report_453564902781_Run2-NoDHR_BAF4ADSP987_depbblhps2dt28n__[20260622_121256].xml</t>
  </si>
  <si>
    <t>report_453564902781_Run2-NoDHR_BAF4ADSP993_depbblhps2dt28n__[20260622_120849].xml</t>
  </si>
  <si>
    <t>report_453564902781_Run2-NoDHR_BAF4ADSP994_depbblhps2dt28n__[20260622_120533].xml</t>
  </si>
  <si>
    <t>report_453564902781_Run1-NoDHR_BAF4ADSP986_depbblhps2dt28n__[20260622_120154].xml</t>
  </si>
  <si>
    <t>report_453564902781_Run1-NoDHR_BAF4ADSP994_depbblhps2dt28n__[20260622_115836].xml</t>
  </si>
  <si>
    <t>report_453564902781_Run1-NoDHR_BAF4ADSP990_depbblhps2dt28n__[20260622_115449].xml</t>
  </si>
  <si>
    <t>report_453564902781_Run1-NoDHR_BAF4ADSP992_depbblhps2dt28n__[20260622_115130].xml</t>
  </si>
  <si>
    <t>report_453564902781_Run1-NoDHR_BAF4ADSP991_depbblhps2dt28n__[20260622_114750].xml</t>
  </si>
  <si>
    <t>report_453564902781_Run1-NoDHR_BAF4ADSP988_depbblhps2dt28n__[20260622_114427].xml</t>
  </si>
  <si>
    <t>report_453564902781_Run1-NoDHR_BAF4ADSP989_depbblhps2dt28n__[20260622_114059].xml</t>
  </si>
  <si>
    <t>report_453564902781_Run1-NoDHR_BAF4ADSP993_depbblhps2dt28n__[20260622_113735].xml</t>
  </si>
  <si>
    <t>report_453564902781_Run1-NoDHR_BAF4ADSP985_depbblhps2dt28n__[20260622_113255].xml</t>
  </si>
  <si>
    <t>report_453564902781_Run1-NoDHR_BAF4ADSP987_depbblhps2dt28n__[20260622_112829].xml</t>
  </si>
  <si>
    <t>report_453564875371_Run3-NoDHR_BF4SASP241_depbblhps2dt28n__[20260629_143436].xml</t>
  </si>
  <si>
    <t>report_453564875371_Run3-NoDHR_BF4SASP236_depbblhps2dt28n__[20260629_142932].xml</t>
  </si>
  <si>
    <t>report_453564875371_Run3-NoDHR_BF4SASP243_depbblhps2dt28n__[20260629_142551].xml</t>
  </si>
  <si>
    <t>report_453564875371_Run3-NoDHR_BF4SASP234_depbblhps2dt28n__[20260629_142249].xml</t>
  </si>
  <si>
    <t>report_453564875371_Run3-NoDHR_BF4SASP242_depbblhps2dt28n__[20260629_141931].xml</t>
  </si>
  <si>
    <t>report_453564875371_Run3-NoDHR_BF4SASP240_depbblhps2dt28n__[20260629_141558].xml</t>
  </si>
  <si>
    <t>report_453564875371_Run3-NoDHR_BF4SASP239_depbblhps2dt28n__[20260629_141249].xml</t>
  </si>
  <si>
    <t>report_453564875371_Run3-NoDHR_BF4SASP238_depbblhps2dt28n__[20260629_140909].xml</t>
  </si>
  <si>
    <t>report_453564875371_Run3-NoDHR_BF4SASP235_depbblhps2dt28n__[20260629_140557].xml</t>
  </si>
  <si>
    <t>report_453564875371_Run3-NoDHR_BF4SASP237_depbblhps2dt28n__[20260629_140245].xml</t>
  </si>
  <si>
    <t>report_453564875371_Run2-NoDHR_BF4SASP235_depbblhps2dt28n__[20260629_135745].xml</t>
  </si>
  <si>
    <t>report_453564875371_Run2-NoDHR_BF4SASP242_depbblhps2dt28n__[20260629_135432].xml</t>
  </si>
  <si>
    <t>report_453564875371_Run2-NoDHR_BF4SASP237_depbblhps2dt28n__[20260629_135105].xml</t>
  </si>
  <si>
    <t>report_453564875371_Run2-NoDHR_BF4SASP239_depbblhps2dt28n__[20260629_123120].xml</t>
  </si>
  <si>
    <t>report_453564875371_Run2-NoDHR_BF4SASP238_depbblhps2dt28n__[20260629_122819].xml</t>
  </si>
  <si>
    <t>report_453564875371_Run2-NoDHR_BF4SASP234_depbblhps2dt28n__[20260629_122513].xml</t>
  </si>
  <si>
    <t>report_453564875371_Run2-NoDHR_BF4SASP240_depbblhps2dt28n__[20260629_122203].xml</t>
  </si>
  <si>
    <t>report_453564875371_Run2-NoDHR_BF4SASP243_depbblhps2dt28n__[20260629_121819].xml</t>
  </si>
  <si>
    <t>report_453564875371_Run2-NoDHR_BF4SASP236_depbblhps2dt28n__[20260629_121346].xml</t>
  </si>
  <si>
    <t>report_453564875371_Run2-NoDHR_BF4SASP241_depbblhps2dt28n__[20260629_121031].xml</t>
  </si>
  <si>
    <t>report_453564875371_Run1-NoDHR_BF4SASP236_depbblhps2dt28n__[20260629_120556].xml</t>
  </si>
  <si>
    <t>report_453564875371_Run1-NoDHR_BF4SASP239_depbblhps2dt28n__[20260629_120232].xml</t>
  </si>
  <si>
    <t>report_453564875371_Run1-NoDHR_BF4SASP241_depbblhps2dt28n__[20260629_115917].xml</t>
  </si>
  <si>
    <t>report_453564875371_Run1-NoDHR_BF4SASP243_depbblhps2dt28n__[20260629_115613].xml</t>
  </si>
  <si>
    <t>report_453564875371_Run1-NoDHR_BF4SASP234_depbblhps2dt28n__[20260629_115255].xml</t>
  </si>
  <si>
    <t>report_453564875371_Run1-NoDHR_BF4SASP240_depbblhps2dt28n__[20260629_114943].xml</t>
  </si>
  <si>
    <t>report_453564875371_Run1-NoDHR_BF4SASP242_depbblhps2dt28n__[20260629_114605].xml</t>
  </si>
  <si>
    <t>report_453564875371_Run1-NoDHR_BF4SASP237_depbblhps2dt28n__[20260629_114256].xml</t>
  </si>
  <si>
    <t>report_453564875371_Run1-NoDHR_BF4SASP238_depbblhps2dt28n__[20260629_113951].xml</t>
  </si>
  <si>
    <t>report_453564875371_Run1-NoDHR_BF4SASP235_depbblhps2dt28n__[20260629_113622].xml</t>
  </si>
  <si>
    <t>report_453564902791_Run3-NoDHR_BF4LSSP232_depbblhps2dt28n__[20260629_112308].xml</t>
  </si>
  <si>
    <t>report_453564902791_Run3-NoDHR_BF4LSSP236_depbblhps2dt28n__[20260629_111921].xml</t>
  </si>
  <si>
    <t>report_453564902791_Run3-NoDHR_BF4LSSP235_depbblhps2dt28n__[20260629_111601].xml</t>
  </si>
  <si>
    <t>report_453564902791_Run3-NoDHR_BF4LSSP230_depbblhps2dt28n__[20260629_111245].xml</t>
  </si>
  <si>
    <t>report_453564902791_Run3-NoDHR_BF4LSSP237_depbblhps2dt28n__[20260629_110749].xml</t>
  </si>
  <si>
    <t>report_453564902791_Run3-NoDHR_BF4LSSP233_depbblhps2dt28n__[20260629_110333].xml</t>
  </si>
  <si>
    <t>report_453564902791_Run3-NoDHR_BF4LSSP239_depbblhps2dt28n__[20260629_110021].xml</t>
  </si>
  <si>
    <t>report_453564902791_Run3-NoDHR_BF4LSSP231_depbblhps2dt28n__[20260629_105503].xml</t>
  </si>
  <si>
    <t>report_453564902791_Run3-NoDHR_BF4LSSP238_depbblhps2dt28n__[20260629_105032].xml</t>
  </si>
  <si>
    <t>report_453564902791_Run3-NoDHR_BF4LSSP234_depbblhps2dt28n__[20260629_104657].xml</t>
  </si>
  <si>
    <t>report_453564902791_Run2-NoDHR_BF4LSSP238_depbblhps2dt28n__[20260629_104237].xml</t>
  </si>
  <si>
    <t>report_453564902791_Run2-NoDHR_BF4LSSP239_depbblhps2dt28n__[20260629_103838].xml</t>
  </si>
  <si>
    <t>report_453564902791_Run2-NoDHR_BF4LSSP231_depbblhps2dt28n__[20260629_103451].xml</t>
  </si>
  <si>
    <t>report_453564902791_Run2-NoDHR_BF4LSSP234_depbblhps2dt28n__[20260629_103114].xml</t>
  </si>
  <si>
    <t>report_453564902791_Run2-NoDHR_BF4LSSP237_depbblhps2dt28n__[20260624_165250].xml</t>
  </si>
  <si>
    <t>report_453564902791_Run2-NoDHR_BF4LSSP230_depbblhps2dt28n__[20260624_164920].xml</t>
  </si>
  <si>
    <t>report_453564902791_Run2-NoDHR_BF4LSSP233_depbblhps2dt28n__[20260624_164532].xml</t>
  </si>
  <si>
    <t>report_453564902791_Run2-NoDHR_BF4LSSP235_depbblhps2dt28n__[20260624_164153].xml</t>
  </si>
  <si>
    <t>report_453564902791_Run2-NoDHR_BF4LSSP236_depbblhps2dt28n__[20260624_163811].xml</t>
  </si>
  <si>
    <t>report_453564902791_Run2-NoDHR_BF4LSSP232_depbblhps2dt28n__[20260624_163433].xml</t>
  </si>
  <si>
    <t>report_453564902791_Run1-NoDHR_BF4LSSP234_depbblhps2dt28n__[20260624_160812].xml</t>
  </si>
  <si>
    <t>report_453564902791_Run1-NoDHR_BF4LSSP232_depbblhps2dt28n__[20260624_160318].xml</t>
  </si>
  <si>
    <t>report_453564875391_Run1-NoDHR_BF4LSSP238_depbblhps2dt28n__[20260624_151419].xml</t>
  </si>
  <si>
    <t>report_453564875391_Run1-NoDHR_BF4LSSP233_depbblhps2dt28n__[20260624_151033].xml</t>
  </si>
  <si>
    <t>report_453564875391_Run1-NoDHR_BF4LSSP230_depbblhps2dt28n__[20260624_150710].xml</t>
  </si>
  <si>
    <t>report_453564875391_Run1-NoDHR_BF4LSSP235_depbblhps2dt28n__[20260624_150347].xml</t>
  </si>
  <si>
    <t>report_453564875391_Run1-NoDHR_BF4LSSP237_depbblhps2dt28n__[20260624_150022].xml</t>
  </si>
  <si>
    <t>report_453564875391_Run1-NoDHR_BF4LSSP236_depbblhps2dt28n__[20260624_145642].xml</t>
  </si>
  <si>
    <t>report_453564875391_Run1-NoDHR_BF4LSSP239_depbblhps2dt28n__[20260624_145336].xml</t>
  </si>
  <si>
    <t>report_453564875391_Run1-NoDHR_BF4LSSP231_depbblhps2dt28n__[20260624_145020].xml</t>
  </si>
  <si>
    <t>report_453564875401_Run3-NoDHR_BF4LASP232_depbblhps2dt28n__[20260624_114842].xml</t>
  </si>
  <si>
    <t>report_453564875401_Run3-NoDHR_BF4LASP233_depbblhps2dt28n__[20260624_114521].xml</t>
  </si>
  <si>
    <t>report_453564875401_Run3-NoDHR_BF4LASP235_depbblhps2dt28n__[20260624_114220].xml</t>
  </si>
  <si>
    <t>report_453564875401_Run3-NoDHR_BF4LASP238_depbblhps2dt28n__[20260624_113837].xml</t>
  </si>
  <si>
    <t>report_453564875401_Run3-NoDHR_BF4LASP237_depbblhps2dt28n__[20260624_113449].xml</t>
  </si>
  <si>
    <t>report_453564875401_Run3-NoDHR_BF4LASP236_depbblhps2dt28n__[20260624_100107].xml</t>
  </si>
  <si>
    <t>report_453564875401_Run3-NoDHR_BF4LASP240_depbblhps2dt28n__[20260624_093353].xml</t>
  </si>
  <si>
    <t>report_453564875401_Run3-NoDHR_BF4LASP234_depbblhps2dt28n__[20260624_093044].xml</t>
  </si>
  <si>
    <t>report_453564875401_Run3-NoDHR_BF4LASP231_depbblhps2dt28n__[20260624_092726].xml</t>
  </si>
  <si>
    <t>report_453564875401_Run3-NoDHR_BF4LASP239_depbblhps2dt28n__[20260624_092420].xml</t>
  </si>
  <si>
    <t>report_453564875401_Run2-NoDHR_BF4LASP231_depbblhps2dt28n__[20260624_092103].xml</t>
  </si>
  <si>
    <t>report_453564875401_Run2-NoDHR_BF4LASP234_depbblhps2dt28n__[20260624_091741].xml</t>
  </si>
  <si>
    <t>report_453564875401_Run2-NoDHR_BF4LASP240_depbblhps2dt28n__[20260624_091422].xml</t>
  </si>
  <si>
    <t>report_453564875401_Run2-NoDHR_BF4LASP236_depbblhps2dt28n__[20260624_091056].xml</t>
  </si>
  <si>
    <t>report_453564875401_Run2-NoDHR_BF4LASP239_depbblhps2dt28n__[20260624_090744].xml</t>
  </si>
  <si>
    <t>report_453564875401_Run2-NoDHR_BF4LASP238_depbblhps2dt28n__[20260624_090259].xml</t>
  </si>
  <si>
    <t>report_453564875401_Run2-NoDHR_BF4LASP237_depbblhps2dt28n__[20260624_085939].xml</t>
  </si>
  <si>
    <t>report_453564875401_Run2-NoDHR_BF4LASP233_depbblhps2dt28n__[20260624_085613].xml</t>
  </si>
  <si>
    <t>report_453564875401_Run2-NoDHR_BF4LASP235_depbblhps2dt28n__[20260624_085250].xml</t>
  </si>
  <si>
    <t>report_453564875401_Run2-NoDHR_BF4LASP232_depbblhps2dt28n__[20260624_084940].xml</t>
  </si>
  <si>
    <t>report_453564875401_Run1-NoDHR_BF4LASP231_depbblhps2dt28n__[20260624_084612].xml</t>
  </si>
  <si>
    <t>report_453564875401_Run1-NoDHR_BF4LASP234_depbblhps2dt28n__[20260624_084229].xml</t>
  </si>
  <si>
    <t>report_453564875401_Run1-NoDHR_BF4LASP232_depbblhps2dt28n__[20260624_083904].xml</t>
  </si>
  <si>
    <t>report_453564875401_Run1-NoDHR_BF4LASP233_depbblhps2dt28n__[20260624_083536].xml</t>
  </si>
  <si>
    <t>report_453564875401_Run1-NoDHR_BF4LASP235_depbblhps2dt28n__[20260624_083210].xml</t>
  </si>
  <si>
    <t>report_453564875401_Run1-NoDHR_BF4LASP236_depbblhps2dt28n__[20260623_170546].xml</t>
  </si>
  <si>
    <t>report_453564875401_Run1-NoDHR_BF4LASP238_depbblhps2dt28n__[20260623_165944].xml</t>
  </si>
  <si>
    <t>report_453564875401_Run1-NoDHR_BF4LASP239_depbblhps2dt28n__[20260623_165618].xml</t>
  </si>
  <si>
    <t>report_453564875401_Run1-NoDHR_BF4LASP240_depbblhps2dt28n__[20260623_165145].xml</t>
  </si>
  <si>
    <t>report_453564875401_Run1-NoDHR_BF4LASP237_depbblhps2dt28n__[20260623_164818].xml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</si>
</sst>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2" fillId="0" borderId="0" xfId="0" applyFont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Concept 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('Concept 1'!$C$9,'Concept 1'!$E$9,'Concept 1'!$G$9,'Concept 1'!$I$9,'Concept 1'!$K$9)</c:f>
              <c:numCache>
                <c:formatCode>General</c:formatCode>
                <c:ptCount val="5"/>
                <c:pt idx="0">
                  <c:v>16.518571428571427</c:v>
                </c:pt>
                <c:pt idx="1">
                  <c:v>24.642857142857142</c:v>
                </c:pt>
                <c:pt idx="2">
                  <c:v>36.479999999999997</c:v>
                </c:pt>
                <c:pt idx="3">
                  <c:v>55.132857142857155</c:v>
                </c:pt>
                <c:pt idx="4">
                  <c:v>79.89</c:v>
                </c:pt>
              </c:numCache>
            </c:numRef>
          </c:xVal>
          <c:yVal>
            <c:numRef>
              <c:f>('Concept 1'!$B$9,'Concept 1'!$D$9,'Concept 1'!$F$9,'Concept 1'!$H$9,'Concept 1'!$J$9)</c:f>
              <c:numCache>
                <c:formatCode>General</c:formatCode>
                <c:ptCount val="5"/>
                <c:pt idx="0">
                  <c:v>48.238571428571433</c:v>
                </c:pt>
                <c:pt idx="1">
                  <c:v>68.325714285714284</c:v>
                </c:pt>
                <c:pt idx="2">
                  <c:v>98.287142857142854</c:v>
                </c:pt>
                <c:pt idx="3">
                  <c:v>148.36142857142858</c:v>
                </c:pt>
                <c:pt idx="4">
                  <c:v>228.31000000000003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904-490F-9B43-A020042EEC31}"/>
            </c:ext>
          </c:extLst>
        </c:ser>
        <c:ser>
          <c:idx val="1"/>
          <c:order val="1"/>
          <c:tx>
            <c:v>Concept 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('Concept 2'!$C$6,'Concept 2'!$E$6,'Concept 2'!$G$6,'Concept 2'!$I$6,'Concept 2'!$K$6)</c:f>
              <c:numCache>
                <c:formatCode>General</c:formatCode>
                <c:ptCount val="5"/>
                <c:pt idx="0">
                  <c:v>9.9475000000000016</c:v>
                </c:pt>
                <c:pt idx="1">
                  <c:v>15.9</c:v>
                </c:pt>
                <c:pt idx="2">
                  <c:v>25.2075</c:v>
                </c:pt>
                <c:pt idx="3">
                  <c:v>40.802499999999995</c:v>
                </c:pt>
                <c:pt idx="4">
                  <c:v>65.805000000000007</c:v>
                </c:pt>
              </c:numCache>
            </c:numRef>
          </c:xVal>
          <c:yVal>
            <c:numRef>
              <c:f>('Concept 2'!$B$6,'Concept 2'!$D$6,'Concept 2'!$F$6,'Concept 2'!$H$6,'Concept 2'!$J$6)</c:f>
              <c:numCache>
                <c:formatCode>General</c:formatCode>
                <c:ptCount val="5"/>
                <c:pt idx="0">
                  <c:v>48.33</c:v>
                </c:pt>
                <c:pt idx="1">
                  <c:v>68.077500000000001</c:v>
                </c:pt>
                <c:pt idx="2">
                  <c:v>98.387499999999989</c:v>
                </c:pt>
                <c:pt idx="3">
                  <c:v>148.44999999999999</c:v>
                </c:pt>
                <c:pt idx="4">
                  <c:v>228.57749999999999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904-490F-9B43-A020042EEC31}"/>
            </c:ext>
          </c:extLst>
        </c:ser>
        <c:ser>
          <c:idx val="2"/>
          <c:order val="2"/>
          <c:tx>
            <c:v>Concept 3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('Concept 3'!$C$9,'Concept 3'!$E$9,'Concept 3'!$G$9,'Concept 3'!$I$9,'Concept 3'!$K$9)</c:f>
              <c:numCache>
                <c:formatCode>General</c:formatCode>
                <c:ptCount val="5"/>
                <c:pt idx="0">
                  <c:v>9.4557142857142882</c:v>
                </c:pt>
                <c:pt idx="1">
                  <c:v>15.915714285714287</c:v>
                </c:pt>
                <c:pt idx="2">
                  <c:v>25.638571428571428</c:v>
                </c:pt>
                <c:pt idx="3">
                  <c:v>42.17285714285714</c:v>
                </c:pt>
                <c:pt idx="4">
                  <c:v>68.411428571428573</c:v>
                </c:pt>
              </c:numCache>
            </c:numRef>
          </c:xVal>
          <c:yVal>
            <c:numRef>
              <c:f>('Concept 3'!$B$9,'Concept 3'!$D$9,'Concept 3'!$F$9,'Concept 3'!$H$9,'Concept 3'!$J$9)</c:f>
              <c:numCache>
                <c:formatCode>General</c:formatCode>
                <c:ptCount val="5"/>
                <c:pt idx="0">
                  <c:v>48.297142857142852</c:v>
                </c:pt>
                <c:pt idx="1">
                  <c:v>68.452857142857141</c:v>
                </c:pt>
                <c:pt idx="2">
                  <c:v>98.424285714285716</c:v>
                </c:pt>
                <c:pt idx="3">
                  <c:v>148.85999999999999</c:v>
                </c:pt>
                <c:pt idx="4">
                  <c:v>228.54142857142853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904-490F-9B43-A020042EEC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5654095"/>
        <c:axId val="1985652655"/>
        <c:extLst>
          <c:ext xmlns:c15="http://schemas.microsoft.com/office/drawing/2012/chart" uri="{02D57815-91ED-43cb-92C2-25804820EDAC}">
            <c15:filteredScatterSeries>
              <c15:ser>
                <c:idx val="3"/>
                <c:order val="3"/>
                <c:tx>
                  <c:v>Ref_A_SP</c:v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(Reference_A!$C$32,Reference_A!$E$32,Reference_A!$G$32,Reference_A!$I$32,Reference_A!$K$32)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10.843333333333334</c:v>
                      </c:pt>
                      <c:pt idx="1">
                        <c:v>28.191666666666666</c:v>
                      </c:pt>
                      <c:pt idx="2">
                        <c:v>45.472666666666662</c:v>
                      </c:pt>
                      <c:pt idx="3">
                        <c:v>62.996000000000002</c:v>
                      </c:pt>
                      <c:pt idx="4">
                        <c:v>97.817999999999969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(Reference_A!$B$32,Reference_A!$D$32,Reference_A!$F$32,Reference_A!$H$32,Reference_A!$J$32)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48.471666666666671</c:v>
                      </c:pt>
                      <c:pt idx="1">
                        <c:v>98.745333333333306</c:v>
                      </c:pt>
                      <c:pt idx="2">
                        <c:v>148.89466666666669</c:v>
                      </c:pt>
                      <c:pt idx="3">
                        <c:v>199.0366666666666</c:v>
                      </c:pt>
                      <c:pt idx="4">
                        <c:v>299.05166666666662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5-2904-490F-9B43-A020042EEC31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v>Ref_SA_SP</c:v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(Reference_SA!$C$32,Reference_SA!$E$32,Reference_SA!$G$32,Reference_SA!$I$32,Reference_SA!$K$32)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6.5826666666666691</c:v>
                      </c:pt>
                      <c:pt idx="1">
                        <c:v>19.528333333333332</c:v>
                      </c:pt>
                      <c:pt idx="2">
                        <c:v>32.487000000000002</c:v>
                      </c:pt>
                      <c:pt idx="3">
                        <c:v>45.44466666666667</c:v>
                      </c:pt>
                      <c:pt idx="4">
                        <c:v>71.563666666666663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(Reference_SA!$B$32,Reference_SA!$D$32,Reference_SA!$F$32,Reference_SA!$H$32,Reference_SA!$J$32)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48.452999999999996</c:v>
                      </c:pt>
                      <c:pt idx="1">
                        <c:v>98.687666666666672</c:v>
                      </c:pt>
                      <c:pt idx="2">
                        <c:v>149.18033333333335</c:v>
                      </c:pt>
                      <c:pt idx="3">
                        <c:v>199.09666666666672</c:v>
                      </c:pt>
                      <c:pt idx="4">
                        <c:v>298.90333333333336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6-2904-490F-9B43-A020042EEC31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v>Ref_LAS_SP</c:v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(Reference_LAS!$C$32,Reference_LAS!$E$32,Reference_LAS!$G$32,Reference_LAS!$I$32,Reference_LAS!$K$32)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13.100666666666667</c:v>
                      </c:pt>
                      <c:pt idx="1">
                        <c:v>33.153999999999996</c:v>
                      </c:pt>
                      <c:pt idx="2">
                        <c:v>53.373666666666672</c:v>
                      </c:pt>
                      <c:pt idx="3">
                        <c:v>73.701666666666668</c:v>
                      </c:pt>
                      <c:pt idx="4">
                        <c:v>114.03433333333332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(Reference_LAS!$B$32,Reference_LAS!$D$32,Reference_LAS!$F$32,Reference_LAS!$H$32,Reference_LAS!$J$32)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48.429666666666677</c:v>
                      </c:pt>
                      <c:pt idx="1">
                        <c:v>98.60199999999999</c:v>
                      </c:pt>
                      <c:pt idx="2">
                        <c:v>148.87900000000002</c:v>
                      </c:pt>
                      <c:pt idx="3">
                        <c:v>199.11999999999998</c:v>
                      </c:pt>
                      <c:pt idx="4">
                        <c:v>298.8963333333333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7-2904-490F-9B43-A020042EEC31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v>Ref_LAS_SP_nest</c:v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('Concept 1'!$C$14,'Concept 1'!$E$14,'Concept 1'!$G$14,'Concept 1'!$I$14,'Concept 1'!$K$14)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9.6549999999999994</c:v>
                      </c:pt>
                      <c:pt idx="1">
                        <c:v>16.899999999999999</c:v>
                      </c:pt>
                      <c:pt idx="2">
                        <c:v>27.93</c:v>
                      </c:pt>
                      <c:pt idx="3">
                        <c:v>46.129999999999995</c:v>
                      </c:pt>
                      <c:pt idx="4">
                        <c:v>75.56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('Concept 1'!$B$14,'Concept 1'!$D$14,'Concept 1'!$F$14,'Concept 1'!$H$14,'Concept 1'!$J$14)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48.32</c:v>
                      </c:pt>
                      <c:pt idx="1">
                        <c:v>68.389999999999986</c:v>
                      </c:pt>
                      <c:pt idx="2">
                        <c:v>98.344999999999999</c:v>
                      </c:pt>
                      <c:pt idx="3">
                        <c:v>148.465</c:v>
                      </c:pt>
                      <c:pt idx="4">
                        <c:v>228.315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8-2904-490F-9B43-A020042EEC31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v>Ref_A_SP_nest</c:v>
                </c:tx>
                <c:spPr>
                  <a:ln w="19050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('Concept 3'!$C$12,'Concept 3'!$E$12,'Concept 3'!$G$12,'Concept 3'!$I$12,'Concept 3'!$K$12)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9.51</c:v>
                      </c:pt>
                      <c:pt idx="1">
                        <c:v>15.84</c:v>
                      </c:pt>
                      <c:pt idx="2">
                        <c:v>25.71</c:v>
                      </c:pt>
                      <c:pt idx="3">
                        <c:v>41.87</c:v>
                      </c:pt>
                      <c:pt idx="4">
                        <c:v>68.23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('Concept 3'!$B$12,'Concept 3'!$D$12,'Concept 3'!$F$12,'Concept 3'!$H$12,'Concept 3'!$J$12)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48.46</c:v>
                      </c:pt>
                      <c:pt idx="1">
                        <c:v>68.459999999999994</c:v>
                      </c:pt>
                      <c:pt idx="2">
                        <c:v>98.75</c:v>
                      </c:pt>
                      <c:pt idx="3">
                        <c:v>148.54</c:v>
                      </c:pt>
                      <c:pt idx="4">
                        <c:v>228.76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9-2904-490F-9B43-A020042EEC31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v>Ref_LA_SP</c:v>
                </c:tx>
                <c:spPr>
                  <a:ln w="19050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(Reference_LA!$C$32,Reference_LA!$E$32,Reference_LA!$G$32,Reference_LA!$I$32,Reference_LA!$K$32)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16.318000000000005</c:v>
                      </c:pt>
                      <c:pt idx="1">
                        <c:v>39.693333333333342</c:v>
                      </c:pt>
                      <c:pt idx="2">
                        <c:v>63.38966666666667</c:v>
                      </c:pt>
                      <c:pt idx="3">
                        <c:v>86.893000000000001</c:v>
                      </c:pt>
                      <c:pt idx="4">
                        <c:v>133.82766666666666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(Reference_LA!$B$32,Reference_LA!$D$32,Reference_LA!$F$32,Reference_LA!$H$32,Reference_LA!$J$32)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48.408666666666669</c:v>
                      </c:pt>
                      <c:pt idx="1">
                        <c:v>98.643000000000001</c:v>
                      </c:pt>
                      <c:pt idx="2">
                        <c:v>148.99433333333334</c:v>
                      </c:pt>
                      <c:pt idx="3">
                        <c:v>198.84700000000001</c:v>
                      </c:pt>
                      <c:pt idx="4">
                        <c:v>299.02599999999995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A-2904-490F-9B43-A020042EEC31}"/>
                  </c:ext>
                </c:extLst>
              </c15:ser>
            </c15:filteredScatterSeries>
          </c:ext>
        </c:extLst>
      </c:scatterChart>
      <c:valAx>
        <c:axId val="19856540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Force</a:t>
                </a:r>
                <a:r>
                  <a:rPr lang="en-US" baseline="0"/>
                  <a:t> [N]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985652655"/>
        <c:crosses val="autoZero"/>
        <c:crossBetween val="midCat"/>
      </c:valAx>
      <c:valAx>
        <c:axId val="198565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Pressure</a:t>
                </a:r>
                <a:r>
                  <a:rPr lang="en-US" baseline="0"/>
                  <a:t> [mmHg]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9856540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Test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('Concept 3'!$C$9,'Concept 3'!$E$9,'Concept 3'!$G$9,'Concept 3'!$I$9,'Concept 3'!$K$9)</c:f>
              <c:numCache>
                <c:formatCode>General</c:formatCode>
                <c:ptCount val="5"/>
                <c:pt idx="0">
                  <c:v>9.4557142857142882</c:v>
                </c:pt>
                <c:pt idx="1">
                  <c:v>15.915714285714287</c:v>
                </c:pt>
                <c:pt idx="2">
                  <c:v>25.638571428571428</c:v>
                </c:pt>
                <c:pt idx="3">
                  <c:v>42.17285714285714</c:v>
                </c:pt>
                <c:pt idx="4">
                  <c:v>68.411428571428573</c:v>
                </c:pt>
              </c:numCache>
            </c:numRef>
          </c:xVal>
          <c:yVal>
            <c:numRef>
              <c:f>('Concept 3'!$B$9,'Concept 3'!$D$9,'Concept 3'!$F$9,'Concept 3'!$H$9,'Concept 3'!$J$9)</c:f>
              <c:numCache>
                <c:formatCode>General</c:formatCode>
                <c:ptCount val="5"/>
                <c:pt idx="0">
                  <c:v>48.297142857142852</c:v>
                </c:pt>
                <c:pt idx="1">
                  <c:v>68.452857142857141</c:v>
                </c:pt>
                <c:pt idx="2">
                  <c:v>98.424285714285716</c:v>
                </c:pt>
                <c:pt idx="3">
                  <c:v>148.85999999999999</c:v>
                </c:pt>
                <c:pt idx="4">
                  <c:v>228.54142857142853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867-4A13-9476-A4DD494F3C72}"/>
            </c:ext>
          </c:extLst>
        </c:ser>
        <c:ser>
          <c:idx val="1"/>
          <c:order val="1"/>
          <c:tx>
            <c:v>Reference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('Concept 3'!$C$12,'Concept 3'!$E$12,'Concept 3'!$G$12,'Concept 3'!$I$12,'Concept 3'!$K$12)</c:f>
              <c:numCache>
                <c:formatCode>General</c:formatCode>
                <c:ptCount val="5"/>
                <c:pt idx="0">
                  <c:v>9.51</c:v>
                </c:pt>
                <c:pt idx="1">
                  <c:v>15.84</c:v>
                </c:pt>
                <c:pt idx="2">
                  <c:v>25.71</c:v>
                </c:pt>
                <c:pt idx="3">
                  <c:v>41.87</c:v>
                </c:pt>
                <c:pt idx="4">
                  <c:v>68.23</c:v>
                </c:pt>
              </c:numCache>
            </c:numRef>
          </c:xVal>
          <c:yVal>
            <c:numRef>
              <c:f>('Concept 3'!$B$12,'Concept 3'!$D$12,'Concept 3'!$F$12,'Concept 3'!$H$12,'Concept 3'!$J$12)</c:f>
              <c:numCache>
                <c:formatCode>General</c:formatCode>
                <c:ptCount val="5"/>
                <c:pt idx="0">
                  <c:v>48.46</c:v>
                </c:pt>
                <c:pt idx="1">
                  <c:v>68.459999999999994</c:v>
                </c:pt>
                <c:pt idx="2">
                  <c:v>98.75</c:v>
                </c:pt>
                <c:pt idx="3">
                  <c:v>148.54</c:v>
                </c:pt>
                <c:pt idx="4">
                  <c:v>228.76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867-4A13-9476-A4DD494F3C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5654095"/>
        <c:axId val="1985652655"/>
      </c:scatterChart>
      <c:valAx>
        <c:axId val="19856540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Force</a:t>
                </a:r>
                <a:r>
                  <a:rPr lang="en-US" baseline="0"/>
                  <a:t> [N]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985652655"/>
        <c:crosses val="autoZero"/>
        <c:crossBetween val="midCat"/>
      </c:valAx>
      <c:valAx>
        <c:axId val="198565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Pressure</a:t>
                </a:r>
                <a:r>
                  <a:rPr lang="en-US" baseline="0"/>
                  <a:t> [mmHg]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9856540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8</xdr:col>
      <xdr:colOff>304303</xdr:colOff>
      <xdr:row>17</xdr:row>
      <xdr:rowOff>133184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F48ADC-AA75-4987-BEA0-352FF13F36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14</xdr:row>
      <xdr:rowOff>91440</xdr:rowOff>
    </xdr:from>
    <xdr:to>
      <xdr:col>8</xdr:col>
      <xdr:colOff>441960</xdr:colOff>
      <xdr:row>29</xdr:row>
      <xdr:rowOff>41744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F583E6-6B00-40D2-8DF3-4AC83453F3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2C348-AFF0-40F6-996C-E56FAD5C761F}">
  <dimension ref="A1"/>
  <sheetViews>
    <sheetView tabSelected="1" workbookViewId="0">
      <selection activeCell="O7" sqref="O7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55F55-3E74-4F33-B8B8-830E1EEE719A}">
  <dimension ref="A1:K14"/>
  <sheetViews>
    <sheetView workbookViewId="0">
      <selection activeCell="N18" sqref="N18"/>
    </sheetView>
  </sheetViews>
  <sheetFormatPr defaultRowHeight="14.4" x14ac:dyDescent="0.3"/>
  <cols>
    <col min="1" max="1" width="48.886718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20</v>
      </c>
      <c r="B2">
        <v>48.11</v>
      </c>
      <c r="C2">
        <v>12.18</v>
      </c>
      <c r="D2">
        <v>68.55</v>
      </c>
      <c r="E2">
        <v>18.940000000000001</v>
      </c>
      <c r="F2">
        <v>98.45</v>
      </c>
      <c r="G2">
        <v>29.07</v>
      </c>
      <c r="H2">
        <v>148.19</v>
      </c>
      <c r="I2">
        <v>46.23</v>
      </c>
      <c r="J2">
        <v>228.13</v>
      </c>
      <c r="K2">
        <v>75.44</v>
      </c>
    </row>
    <row r="3" spans="1:11" x14ac:dyDescent="0.3">
      <c r="A3" t="s">
        <v>21</v>
      </c>
      <c r="B3">
        <v>48.52</v>
      </c>
      <c r="C3">
        <v>14.35</v>
      </c>
      <c r="D3">
        <v>68.150000000000006</v>
      </c>
      <c r="E3">
        <v>22.02</v>
      </c>
      <c r="F3">
        <v>98.41</v>
      </c>
      <c r="G3">
        <v>33.979999999999997</v>
      </c>
      <c r="H3">
        <v>148.28</v>
      </c>
      <c r="I3">
        <v>54.13</v>
      </c>
      <c r="J3">
        <v>228.63</v>
      </c>
      <c r="K3">
        <v>88.08</v>
      </c>
    </row>
    <row r="4" spans="1:11" x14ac:dyDescent="0.3">
      <c r="A4" t="s">
        <v>22</v>
      </c>
      <c r="B4">
        <v>48.12</v>
      </c>
      <c r="C4">
        <v>15.45</v>
      </c>
      <c r="D4">
        <v>68.63</v>
      </c>
      <c r="E4">
        <v>23.02</v>
      </c>
      <c r="F4">
        <v>98.03</v>
      </c>
      <c r="G4">
        <v>34.36</v>
      </c>
      <c r="H4">
        <v>148.54</v>
      </c>
      <c r="I4">
        <v>54.06</v>
      </c>
      <c r="J4">
        <v>228.18</v>
      </c>
      <c r="K4">
        <v>85.67</v>
      </c>
    </row>
    <row r="5" spans="1:11" x14ac:dyDescent="0.3">
      <c r="A5" t="s">
        <v>23</v>
      </c>
      <c r="B5">
        <v>48.27</v>
      </c>
      <c r="C5">
        <v>10.039999999999999</v>
      </c>
      <c r="D5">
        <v>68.42</v>
      </c>
      <c r="E5">
        <v>16.010000000000002</v>
      </c>
      <c r="F5">
        <v>98.5</v>
      </c>
      <c r="G5">
        <v>25.41</v>
      </c>
      <c r="H5">
        <v>148.81</v>
      </c>
      <c r="I5">
        <v>41.49</v>
      </c>
      <c r="J5">
        <v>228.31</v>
      </c>
      <c r="K5">
        <v>67.77</v>
      </c>
    </row>
    <row r="6" spans="1:11" x14ac:dyDescent="0.3">
      <c r="A6" t="s">
        <v>24</v>
      </c>
      <c r="B6">
        <v>48.53</v>
      </c>
      <c r="C6">
        <v>12.84</v>
      </c>
      <c r="D6">
        <v>68.22</v>
      </c>
      <c r="E6">
        <v>19.98</v>
      </c>
      <c r="F6">
        <v>98.27</v>
      </c>
      <c r="G6">
        <v>31.14</v>
      </c>
      <c r="H6">
        <v>148.6</v>
      </c>
      <c r="I6">
        <v>50.21</v>
      </c>
      <c r="J6">
        <v>228.36</v>
      </c>
      <c r="K6">
        <v>81.17</v>
      </c>
    </row>
    <row r="7" spans="1:11" x14ac:dyDescent="0.3">
      <c r="A7" t="s">
        <v>25</v>
      </c>
      <c r="B7">
        <v>48.1</v>
      </c>
      <c r="C7">
        <v>20.14</v>
      </c>
      <c r="D7">
        <v>68.25</v>
      </c>
      <c r="E7">
        <v>27.22</v>
      </c>
      <c r="F7">
        <v>98.01</v>
      </c>
      <c r="G7">
        <v>37.909999999999997</v>
      </c>
      <c r="H7">
        <v>148.05000000000001</v>
      </c>
      <c r="I7">
        <v>54.78</v>
      </c>
      <c r="J7">
        <v>228.25</v>
      </c>
      <c r="K7">
        <v>81.209999999999994</v>
      </c>
    </row>
    <row r="8" spans="1:11" x14ac:dyDescent="0.3">
      <c r="A8" t="s">
        <v>26</v>
      </c>
      <c r="B8">
        <v>48.02</v>
      </c>
      <c r="C8">
        <v>30.63</v>
      </c>
      <c r="D8">
        <v>68.06</v>
      </c>
      <c r="E8">
        <v>45.31</v>
      </c>
      <c r="F8">
        <v>98.34</v>
      </c>
      <c r="G8">
        <v>63.49</v>
      </c>
      <c r="H8">
        <v>148.06</v>
      </c>
      <c r="I8">
        <v>85.03</v>
      </c>
    </row>
    <row r="9" spans="1:11" x14ac:dyDescent="0.3">
      <c r="A9" s="2" t="s">
        <v>19</v>
      </c>
      <c r="B9" s="5">
        <f xml:space="preserve"> AVERAGE(B2:B8)</f>
        <v>48.238571428571433</v>
      </c>
      <c r="C9" s="5">
        <f xml:space="preserve"> AVERAGE(C2:C8)</f>
        <v>16.518571428571427</v>
      </c>
      <c r="D9" s="5">
        <f t="shared" ref="D9:K9" si="0" xml:space="preserve"> AVERAGE(D2:D8)</f>
        <v>68.325714285714284</v>
      </c>
      <c r="E9" s="5">
        <f t="shared" si="0"/>
        <v>24.642857142857142</v>
      </c>
      <c r="F9" s="5">
        <f t="shared" si="0"/>
        <v>98.287142857142854</v>
      </c>
      <c r="G9" s="5">
        <f t="shared" si="0"/>
        <v>36.479999999999997</v>
      </c>
      <c r="H9" s="5">
        <f t="shared" si="0"/>
        <v>148.36142857142858</v>
      </c>
      <c r="I9" s="5">
        <f t="shared" si="0"/>
        <v>55.132857142857155</v>
      </c>
      <c r="J9" s="5">
        <f t="shared" si="0"/>
        <v>228.31000000000003</v>
      </c>
      <c r="K9" s="5">
        <f t="shared" si="0"/>
        <v>79.89</v>
      </c>
    </row>
    <row r="12" spans="1:11" x14ac:dyDescent="0.3">
      <c r="A12" t="s">
        <v>27</v>
      </c>
      <c r="B12">
        <v>48.46</v>
      </c>
      <c r="C12">
        <v>9.19</v>
      </c>
      <c r="D12">
        <v>68.459999999999994</v>
      </c>
      <c r="E12">
        <v>16.170000000000002</v>
      </c>
      <c r="F12">
        <v>98.6</v>
      </c>
      <c r="G12">
        <v>26.99</v>
      </c>
      <c r="H12">
        <v>148.78</v>
      </c>
      <c r="I12">
        <v>45.03</v>
      </c>
      <c r="J12">
        <v>228.42</v>
      </c>
      <c r="K12">
        <v>74.040000000000006</v>
      </c>
    </row>
    <row r="13" spans="1:11" x14ac:dyDescent="0.3">
      <c r="A13" t="s">
        <v>28</v>
      </c>
      <c r="B13">
        <v>48.18</v>
      </c>
      <c r="C13">
        <v>10.119999999999999</v>
      </c>
      <c r="D13">
        <v>68.319999999999993</v>
      </c>
      <c r="E13">
        <v>17.63</v>
      </c>
      <c r="F13">
        <v>98.09</v>
      </c>
      <c r="G13">
        <v>28.87</v>
      </c>
      <c r="H13">
        <v>148.15</v>
      </c>
      <c r="I13">
        <v>47.23</v>
      </c>
      <c r="J13">
        <v>228.21</v>
      </c>
      <c r="K13">
        <v>77.08</v>
      </c>
    </row>
    <row r="14" spans="1:11" x14ac:dyDescent="0.3">
      <c r="A14" s="2" t="s">
        <v>19</v>
      </c>
      <c r="B14" s="5">
        <f xml:space="preserve"> AVERAGE(B12:B13)</f>
        <v>48.32</v>
      </c>
      <c r="C14" s="5">
        <f t="shared" ref="C14:K14" si="1" xml:space="preserve"> AVERAGE(C12:C13)</f>
        <v>9.6549999999999994</v>
      </c>
      <c r="D14" s="5">
        <f t="shared" si="1"/>
        <v>68.389999999999986</v>
      </c>
      <c r="E14" s="5">
        <f t="shared" si="1"/>
        <v>16.899999999999999</v>
      </c>
      <c r="F14" s="5">
        <f t="shared" si="1"/>
        <v>98.344999999999999</v>
      </c>
      <c r="G14" s="5">
        <f t="shared" si="1"/>
        <v>27.93</v>
      </c>
      <c r="H14" s="5">
        <f t="shared" si="1"/>
        <v>148.465</v>
      </c>
      <c r="I14" s="5">
        <f t="shared" si="1"/>
        <v>46.129999999999995</v>
      </c>
      <c r="J14" s="5">
        <f t="shared" si="1"/>
        <v>228.315</v>
      </c>
      <c r="K14" s="5">
        <f t="shared" si="1"/>
        <v>75.56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E757C-8BED-4A8C-AC4E-08FD84285810}">
  <dimension ref="A1:K14"/>
  <sheetViews>
    <sheetView workbookViewId="0">
      <selection activeCell="A3" sqref="A3"/>
    </sheetView>
  </sheetViews>
  <sheetFormatPr defaultRowHeight="14.4" x14ac:dyDescent="0.3"/>
  <cols>
    <col min="1" max="1" width="48.886718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29</v>
      </c>
      <c r="B2">
        <v>48.54</v>
      </c>
      <c r="C2">
        <v>7.06</v>
      </c>
      <c r="D2">
        <v>68.040000000000006</v>
      </c>
      <c r="E2">
        <v>12.72</v>
      </c>
      <c r="F2">
        <v>98.65</v>
      </c>
      <c r="G2">
        <v>22.14</v>
      </c>
      <c r="H2">
        <v>148.6</v>
      </c>
      <c r="I2">
        <v>37.76</v>
      </c>
      <c r="J2">
        <v>228.94</v>
      </c>
      <c r="K2">
        <v>62.76</v>
      </c>
    </row>
    <row r="3" spans="1:11" x14ac:dyDescent="0.3">
      <c r="A3" t="s">
        <v>30</v>
      </c>
      <c r="B3">
        <v>48.5</v>
      </c>
      <c r="C3">
        <v>9.83</v>
      </c>
      <c r="D3">
        <v>68.08</v>
      </c>
      <c r="E3">
        <v>16.75</v>
      </c>
      <c r="F3">
        <v>98.55</v>
      </c>
      <c r="G3">
        <v>27.39</v>
      </c>
      <c r="H3">
        <v>148.24</v>
      </c>
      <c r="I3">
        <v>45.23</v>
      </c>
      <c r="J3">
        <v>228.25</v>
      </c>
      <c r="K3">
        <v>73.97</v>
      </c>
    </row>
    <row r="4" spans="1:11" x14ac:dyDescent="0.3">
      <c r="A4" t="s">
        <v>31</v>
      </c>
      <c r="B4">
        <v>48.08</v>
      </c>
      <c r="C4">
        <v>13.85</v>
      </c>
      <c r="D4">
        <v>68.11</v>
      </c>
      <c r="E4">
        <v>18.53</v>
      </c>
      <c r="F4">
        <v>98.2</v>
      </c>
      <c r="G4">
        <v>25.75</v>
      </c>
      <c r="H4">
        <v>148.52000000000001</v>
      </c>
      <c r="I4">
        <v>37.9</v>
      </c>
      <c r="J4">
        <v>228.32</v>
      </c>
      <c r="K4">
        <v>57.33</v>
      </c>
    </row>
    <row r="5" spans="1:11" x14ac:dyDescent="0.3">
      <c r="A5" t="s">
        <v>32</v>
      </c>
      <c r="B5">
        <v>48.2</v>
      </c>
      <c r="C5">
        <v>9.0500000000000007</v>
      </c>
      <c r="D5">
        <v>68.08</v>
      </c>
      <c r="E5">
        <v>15.6</v>
      </c>
      <c r="F5">
        <v>98.15</v>
      </c>
      <c r="G5">
        <v>25.55</v>
      </c>
      <c r="H5">
        <v>148.44</v>
      </c>
      <c r="I5">
        <v>42.32</v>
      </c>
      <c r="J5">
        <v>228.8</v>
      </c>
      <c r="K5">
        <v>69.16</v>
      </c>
    </row>
    <row r="6" spans="1:11" x14ac:dyDescent="0.3">
      <c r="A6" s="3" t="s">
        <v>19</v>
      </c>
      <c r="B6" s="4">
        <f xml:space="preserve"> AVERAGE(B2:B5)</f>
        <v>48.33</v>
      </c>
      <c r="C6" s="4">
        <f t="shared" ref="C6:K6" si="0" xml:space="preserve"> AVERAGE(C2:C5)</f>
        <v>9.9475000000000016</v>
      </c>
      <c r="D6" s="4">
        <f t="shared" si="0"/>
        <v>68.077500000000001</v>
      </c>
      <c r="E6" s="4">
        <f t="shared" si="0"/>
        <v>15.9</v>
      </c>
      <c r="F6" s="4">
        <f t="shared" si="0"/>
        <v>98.387499999999989</v>
      </c>
      <c r="G6" s="4">
        <f t="shared" si="0"/>
        <v>25.2075</v>
      </c>
      <c r="H6" s="4">
        <f t="shared" si="0"/>
        <v>148.44999999999999</v>
      </c>
      <c r="I6" s="4">
        <f t="shared" si="0"/>
        <v>40.802499999999995</v>
      </c>
      <c r="J6" s="4">
        <f t="shared" si="0"/>
        <v>228.57749999999999</v>
      </c>
      <c r="K6" s="4">
        <f t="shared" si="0"/>
        <v>65.805000000000007</v>
      </c>
    </row>
    <row r="12" spans="1:11" x14ac:dyDescent="0.3">
      <c r="A12" t="s">
        <v>27</v>
      </c>
      <c r="B12">
        <v>48.46</v>
      </c>
      <c r="C12">
        <v>9.19</v>
      </c>
      <c r="D12">
        <v>68.459999999999994</v>
      </c>
      <c r="E12">
        <v>16.170000000000002</v>
      </c>
      <c r="F12">
        <v>98.6</v>
      </c>
      <c r="G12">
        <v>26.99</v>
      </c>
      <c r="H12">
        <v>148.78</v>
      </c>
      <c r="I12">
        <v>45.03</v>
      </c>
      <c r="J12">
        <v>228.42</v>
      </c>
      <c r="K12">
        <v>74.040000000000006</v>
      </c>
    </row>
    <row r="13" spans="1:11" x14ac:dyDescent="0.3">
      <c r="A13" t="s">
        <v>28</v>
      </c>
      <c r="B13">
        <v>48.18</v>
      </c>
      <c r="C13">
        <v>10.119999999999999</v>
      </c>
      <c r="D13">
        <v>68.319999999999993</v>
      </c>
      <c r="E13">
        <v>17.63</v>
      </c>
      <c r="F13">
        <v>98.09</v>
      </c>
      <c r="G13">
        <v>28.87</v>
      </c>
      <c r="H13">
        <v>148.15</v>
      </c>
      <c r="I13">
        <v>47.23</v>
      </c>
      <c r="J13">
        <v>228.21</v>
      </c>
      <c r="K13">
        <v>77.08</v>
      </c>
    </row>
    <row r="14" spans="1:11" x14ac:dyDescent="0.3">
      <c r="A14" s="2" t="s">
        <v>19</v>
      </c>
      <c r="B14" s="5">
        <f xml:space="preserve"> AVERAGE(B12:B13)</f>
        <v>48.32</v>
      </c>
      <c r="C14" s="5">
        <f t="shared" ref="C14:K14" si="1" xml:space="preserve"> AVERAGE(C12:C13)</f>
        <v>9.6549999999999994</v>
      </c>
      <c r="D14" s="5">
        <f t="shared" si="1"/>
        <v>68.389999999999986</v>
      </c>
      <c r="E14" s="5">
        <f t="shared" si="1"/>
        <v>16.899999999999999</v>
      </c>
      <c r="F14" s="5">
        <f t="shared" si="1"/>
        <v>98.344999999999999</v>
      </c>
      <c r="G14" s="5">
        <f t="shared" si="1"/>
        <v>27.93</v>
      </c>
      <c r="H14" s="5">
        <f t="shared" si="1"/>
        <v>148.465</v>
      </c>
      <c r="I14" s="5">
        <f t="shared" si="1"/>
        <v>46.129999999999995</v>
      </c>
      <c r="J14" s="5">
        <f t="shared" si="1"/>
        <v>228.315</v>
      </c>
      <c r="K14" s="5">
        <f t="shared" si="1"/>
        <v>75.56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workbookViewId="0">
      <selection activeCell="N13" sqref="N13"/>
    </sheetView>
  </sheetViews>
  <sheetFormatPr defaultRowHeight="14.4" x14ac:dyDescent="0.3"/>
  <cols>
    <col min="1" max="1" width="48.88671875" customWidth="1"/>
    <col min="2" max="11" width="8.886718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>
        <v>48.37</v>
      </c>
      <c r="C2">
        <v>9.8699999999999992</v>
      </c>
      <c r="D2">
        <v>68.55</v>
      </c>
      <c r="E2">
        <v>16.3</v>
      </c>
      <c r="F2">
        <v>98.71</v>
      </c>
      <c r="G2">
        <v>26.19</v>
      </c>
      <c r="H2">
        <v>148.08000000000001</v>
      </c>
      <c r="I2">
        <v>42.07</v>
      </c>
      <c r="J2">
        <v>228.27</v>
      </c>
      <c r="K2">
        <v>68.319999999999993</v>
      </c>
    </row>
    <row r="3" spans="1:11" x14ac:dyDescent="0.3">
      <c r="A3" t="s">
        <v>12</v>
      </c>
      <c r="B3">
        <v>48.17</v>
      </c>
      <c r="C3">
        <v>9.1999999999999993</v>
      </c>
      <c r="D3">
        <v>68.23</v>
      </c>
      <c r="E3">
        <v>15.48</v>
      </c>
      <c r="F3">
        <v>98.58</v>
      </c>
      <c r="G3">
        <v>25.3</v>
      </c>
      <c r="H3">
        <v>148.66999999999999</v>
      </c>
      <c r="I3">
        <v>41.42</v>
      </c>
      <c r="J3">
        <v>228.47</v>
      </c>
      <c r="K3">
        <v>67.64</v>
      </c>
    </row>
    <row r="4" spans="1:11" x14ac:dyDescent="0.3">
      <c r="A4" t="s">
        <v>13</v>
      </c>
      <c r="B4">
        <v>48.18</v>
      </c>
      <c r="C4">
        <v>9.4700000000000006</v>
      </c>
      <c r="D4">
        <v>68.19</v>
      </c>
      <c r="E4">
        <v>15.92</v>
      </c>
      <c r="F4">
        <v>98.06</v>
      </c>
      <c r="G4">
        <v>25.64</v>
      </c>
      <c r="H4">
        <v>148.62</v>
      </c>
      <c r="I4">
        <v>42.1</v>
      </c>
      <c r="J4">
        <v>228.63</v>
      </c>
      <c r="K4">
        <v>68.61</v>
      </c>
    </row>
    <row r="5" spans="1:11" x14ac:dyDescent="0.3">
      <c r="A5" t="s">
        <v>14</v>
      </c>
      <c r="B5">
        <v>48.24</v>
      </c>
      <c r="C5">
        <v>9.56</v>
      </c>
      <c r="D5">
        <v>68.3</v>
      </c>
      <c r="E5">
        <v>16.21</v>
      </c>
      <c r="F5">
        <v>98.03</v>
      </c>
      <c r="G5">
        <v>26.04</v>
      </c>
      <c r="H5">
        <v>148.15</v>
      </c>
      <c r="I5">
        <v>42.79</v>
      </c>
      <c r="J5">
        <v>228.1</v>
      </c>
      <c r="K5">
        <v>70.03</v>
      </c>
    </row>
    <row r="6" spans="1:11" x14ac:dyDescent="0.3">
      <c r="A6" t="s">
        <v>16</v>
      </c>
      <c r="B6">
        <v>48.23</v>
      </c>
      <c r="C6">
        <v>10.77</v>
      </c>
      <c r="D6">
        <v>68.55</v>
      </c>
      <c r="E6">
        <v>17.16</v>
      </c>
      <c r="F6">
        <v>98.54</v>
      </c>
      <c r="G6">
        <v>26.82</v>
      </c>
      <c r="H6">
        <v>148.97999999999999</v>
      </c>
      <c r="I6">
        <v>43.13</v>
      </c>
      <c r="J6">
        <v>228.61</v>
      </c>
      <c r="K6">
        <v>69.11</v>
      </c>
    </row>
    <row r="7" spans="1:11" x14ac:dyDescent="0.3">
      <c r="A7" t="s">
        <v>17</v>
      </c>
      <c r="B7">
        <v>48.32</v>
      </c>
      <c r="C7">
        <v>9.67</v>
      </c>
      <c r="D7">
        <v>68.239999999999995</v>
      </c>
      <c r="E7">
        <v>16.010000000000002</v>
      </c>
      <c r="F7">
        <v>98.1</v>
      </c>
      <c r="G7">
        <v>25.64</v>
      </c>
      <c r="H7">
        <v>148.16</v>
      </c>
      <c r="I7">
        <v>42.25</v>
      </c>
      <c r="J7">
        <v>228.39</v>
      </c>
      <c r="K7">
        <v>68.72</v>
      </c>
    </row>
    <row r="8" spans="1:11" x14ac:dyDescent="0.3">
      <c r="A8" t="s">
        <v>18</v>
      </c>
      <c r="B8">
        <v>48.57</v>
      </c>
      <c r="C8">
        <v>7.65</v>
      </c>
      <c r="D8">
        <v>69.11</v>
      </c>
      <c r="E8">
        <v>14.33</v>
      </c>
      <c r="F8">
        <v>98.95</v>
      </c>
      <c r="G8">
        <v>23.84</v>
      </c>
      <c r="H8">
        <v>151.36000000000001</v>
      </c>
      <c r="I8">
        <v>41.45</v>
      </c>
      <c r="J8">
        <v>229.32</v>
      </c>
      <c r="K8">
        <v>66.45</v>
      </c>
    </row>
    <row r="9" spans="1:11" x14ac:dyDescent="0.3">
      <c r="A9" s="2" t="s">
        <v>19</v>
      </c>
      <c r="B9" s="5">
        <f xml:space="preserve"> AVERAGE(B2:B8)</f>
        <v>48.297142857142852</v>
      </c>
      <c r="C9" s="5">
        <f t="shared" ref="C9:K9" si="0" xml:space="preserve"> AVERAGE(C2:C8)</f>
        <v>9.4557142857142882</v>
      </c>
      <c r="D9" s="5">
        <f t="shared" si="0"/>
        <v>68.452857142857141</v>
      </c>
      <c r="E9" s="5">
        <f t="shared" si="0"/>
        <v>15.915714285714287</v>
      </c>
      <c r="F9" s="5">
        <f t="shared" si="0"/>
        <v>98.424285714285716</v>
      </c>
      <c r="G9" s="5">
        <f t="shared" si="0"/>
        <v>25.638571428571428</v>
      </c>
      <c r="H9" s="5">
        <f t="shared" si="0"/>
        <v>148.85999999999999</v>
      </c>
      <c r="I9" s="5">
        <f t="shared" si="0"/>
        <v>42.17285714285714</v>
      </c>
      <c r="J9" s="5">
        <f t="shared" si="0"/>
        <v>228.54142857142853</v>
      </c>
      <c r="K9" s="5">
        <f t="shared" si="0"/>
        <v>68.411428571428573</v>
      </c>
    </row>
    <row r="11" spans="1:11" x14ac:dyDescent="0.3">
      <c r="A11" t="s">
        <v>15</v>
      </c>
      <c r="B11">
        <v>48.46</v>
      </c>
      <c r="C11">
        <v>9.51</v>
      </c>
      <c r="D11">
        <v>68.459999999999994</v>
      </c>
      <c r="E11">
        <v>15.84</v>
      </c>
      <c r="F11">
        <v>98.75</v>
      </c>
      <c r="G11">
        <v>25.71</v>
      </c>
      <c r="H11">
        <v>148.54</v>
      </c>
      <c r="I11">
        <v>41.87</v>
      </c>
      <c r="J11">
        <v>228.76</v>
      </c>
      <c r="K11">
        <v>68.23</v>
      </c>
    </row>
    <row r="12" spans="1:11" x14ac:dyDescent="0.3">
      <c r="A12" s="2" t="s">
        <v>19</v>
      </c>
      <c r="B12" s="5">
        <f>AVERAGE(B11)</f>
        <v>48.46</v>
      </c>
      <c r="C12" s="5">
        <f t="shared" ref="C12:K12" si="1">AVERAGE(C11)</f>
        <v>9.51</v>
      </c>
      <c r="D12" s="5">
        <f t="shared" si="1"/>
        <v>68.459999999999994</v>
      </c>
      <c r="E12" s="5">
        <f t="shared" si="1"/>
        <v>15.84</v>
      </c>
      <c r="F12" s="5">
        <f t="shared" si="1"/>
        <v>98.75</v>
      </c>
      <c r="G12" s="5">
        <f t="shared" si="1"/>
        <v>25.71</v>
      </c>
      <c r="H12" s="5">
        <f t="shared" si="1"/>
        <v>148.54</v>
      </c>
      <c r="I12" s="5">
        <f t="shared" si="1"/>
        <v>41.87</v>
      </c>
      <c r="J12" s="5">
        <f t="shared" si="1"/>
        <v>228.76</v>
      </c>
      <c r="K12" s="5">
        <f t="shared" si="1"/>
        <v>68.23</v>
      </c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C515F-5677-4F98-8B31-C000166B1061}">
  <dimension ref="A1:K33"/>
  <sheetViews>
    <sheetView topLeftCell="A19" workbookViewId="0">
      <selection activeCell="A37" sqref="A37"/>
    </sheetView>
  </sheetViews>
  <sheetFormatPr defaultRowHeight="14.4" x14ac:dyDescent="0.3"/>
  <cols>
    <col min="1" max="1" width="48.886718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34</v>
      </c>
      <c r="B2">
        <v>48.66</v>
      </c>
      <c r="C2">
        <v>10.75</v>
      </c>
      <c r="D2">
        <v>98.07</v>
      </c>
      <c r="E2">
        <v>27.84</v>
      </c>
      <c r="F2">
        <v>149.18</v>
      </c>
      <c r="G2">
        <v>45.42</v>
      </c>
      <c r="H2">
        <v>199.25</v>
      </c>
      <c r="I2">
        <v>62.81</v>
      </c>
      <c r="J2">
        <v>299.64999999999998</v>
      </c>
      <c r="K2">
        <v>97.47</v>
      </c>
    </row>
    <row r="3" spans="1:11" x14ac:dyDescent="0.3">
      <c r="A3" t="s">
        <v>35</v>
      </c>
      <c r="B3">
        <v>48.7</v>
      </c>
      <c r="C3">
        <v>10.86</v>
      </c>
      <c r="D3">
        <v>98.5</v>
      </c>
      <c r="E3">
        <v>28.02</v>
      </c>
      <c r="F3">
        <v>149.03</v>
      </c>
      <c r="G3">
        <v>45.16</v>
      </c>
      <c r="H3">
        <v>198.46</v>
      </c>
      <c r="I3">
        <v>62.4</v>
      </c>
      <c r="J3">
        <v>298.33999999999997</v>
      </c>
      <c r="K3">
        <v>97.06</v>
      </c>
    </row>
    <row r="4" spans="1:11" x14ac:dyDescent="0.3">
      <c r="A4" t="s">
        <v>36</v>
      </c>
      <c r="B4">
        <v>48.57</v>
      </c>
      <c r="C4">
        <v>11.03</v>
      </c>
      <c r="D4">
        <v>98.96</v>
      </c>
      <c r="E4">
        <v>28.32</v>
      </c>
      <c r="F4">
        <v>148.15</v>
      </c>
      <c r="G4">
        <v>45.6</v>
      </c>
      <c r="H4">
        <v>198.8</v>
      </c>
      <c r="I4">
        <v>63.38</v>
      </c>
      <c r="J4">
        <v>298.24</v>
      </c>
      <c r="K4">
        <v>98.21</v>
      </c>
    </row>
    <row r="5" spans="1:11" x14ac:dyDescent="0.3">
      <c r="A5" t="s">
        <v>37</v>
      </c>
      <c r="B5">
        <v>48.67</v>
      </c>
      <c r="C5">
        <v>10.61</v>
      </c>
      <c r="D5">
        <v>99.01</v>
      </c>
      <c r="E5">
        <v>27.79</v>
      </c>
      <c r="F5">
        <v>148.78</v>
      </c>
      <c r="G5">
        <v>44.9</v>
      </c>
      <c r="H5">
        <v>198.4</v>
      </c>
      <c r="I5">
        <v>62.13</v>
      </c>
      <c r="J5">
        <v>299.32</v>
      </c>
      <c r="K5">
        <v>97.14</v>
      </c>
    </row>
    <row r="6" spans="1:11" x14ac:dyDescent="0.3">
      <c r="A6" t="s">
        <v>38</v>
      </c>
      <c r="B6">
        <v>48.45</v>
      </c>
      <c r="C6">
        <v>10.7</v>
      </c>
      <c r="D6">
        <v>98.29</v>
      </c>
      <c r="E6">
        <v>27.97</v>
      </c>
      <c r="F6">
        <v>148.54</v>
      </c>
      <c r="G6">
        <v>45.38</v>
      </c>
      <c r="H6">
        <v>199.45</v>
      </c>
      <c r="I6">
        <v>63.16</v>
      </c>
      <c r="J6">
        <v>298.7</v>
      </c>
      <c r="K6">
        <v>97.88</v>
      </c>
    </row>
    <row r="7" spans="1:11" x14ac:dyDescent="0.3">
      <c r="A7" t="s">
        <v>39</v>
      </c>
      <c r="B7">
        <v>48.7</v>
      </c>
      <c r="C7">
        <v>10.94</v>
      </c>
      <c r="D7">
        <v>99.09</v>
      </c>
      <c r="E7">
        <v>28.14</v>
      </c>
      <c r="F7">
        <v>148.34</v>
      </c>
      <c r="G7">
        <v>45.06</v>
      </c>
      <c r="H7">
        <v>198.4</v>
      </c>
      <c r="I7">
        <v>62.59</v>
      </c>
      <c r="J7">
        <v>299.74</v>
      </c>
      <c r="K7">
        <v>97.52</v>
      </c>
    </row>
    <row r="8" spans="1:11" x14ac:dyDescent="0.3">
      <c r="A8" t="s">
        <v>40</v>
      </c>
      <c r="B8">
        <v>48.56</v>
      </c>
      <c r="C8">
        <v>11.24</v>
      </c>
      <c r="D8">
        <v>98.7</v>
      </c>
      <c r="E8">
        <v>28.64</v>
      </c>
      <c r="F8">
        <v>149.28</v>
      </c>
      <c r="G8">
        <v>46.24</v>
      </c>
      <c r="H8">
        <v>199.68</v>
      </c>
      <c r="I8">
        <v>64.03</v>
      </c>
      <c r="J8">
        <v>299.8</v>
      </c>
      <c r="K8">
        <v>99.29</v>
      </c>
    </row>
    <row r="9" spans="1:11" x14ac:dyDescent="0.3">
      <c r="A9" t="s">
        <v>41</v>
      </c>
      <c r="B9">
        <v>48.51</v>
      </c>
      <c r="C9">
        <v>10.72</v>
      </c>
      <c r="D9">
        <v>98.96</v>
      </c>
      <c r="E9">
        <v>28.06</v>
      </c>
      <c r="F9">
        <v>149.44999999999999</v>
      </c>
      <c r="G9">
        <v>45.26</v>
      </c>
      <c r="H9">
        <v>198.34</v>
      </c>
      <c r="I9">
        <v>62.28</v>
      </c>
      <c r="J9">
        <v>298.66000000000003</v>
      </c>
      <c r="K9">
        <v>97.09</v>
      </c>
    </row>
    <row r="10" spans="1:11" x14ac:dyDescent="0.3">
      <c r="A10" t="s">
        <v>42</v>
      </c>
      <c r="B10">
        <v>48.61</v>
      </c>
      <c r="C10">
        <v>10.84</v>
      </c>
      <c r="D10">
        <v>99.32</v>
      </c>
      <c r="E10">
        <v>28.29</v>
      </c>
      <c r="F10">
        <v>149.02000000000001</v>
      </c>
      <c r="G10">
        <v>45.36</v>
      </c>
      <c r="H10">
        <v>200.05</v>
      </c>
      <c r="I10">
        <v>62.99</v>
      </c>
      <c r="J10">
        <v>298.57</v>
      </c>
      <c r="K10">
        <v>97.39</v>
      </c>
    </row>
    <row r="11" spans="1:11" x14ac:dyDescent="0.3">
      <c r="A11" t="s">
        <v>43</v>
      </c>
      <c r="B11">
        <v>48.62</v>
      </c>
      <c r="C11">
        <v>11.13</v>
      </c>
      <c r="D11">
        <v>98.52</v>
      </c>
      <c r="E11">
        <v>28.54</v>
      </c>
      <c r="F11">
        <v>149.32</v>
      </c>
      <c r="G11">
        <v>46.12</v>
      </c>
      <c r="H11">
        <v>198.6</v>
      </c>
      <c r="I11">
        <v>63.59</v>
      </c>
      <c r="J11">
        <v>299.77999999999997</v>
      </c>
      <c r="K11">
        <v>99.01</v>
      </c>
    </row>
    <row r="12" spans="1:11" x14ac:dyDescent="0.3">
      <c r="A12" t="s">
        <v>44</v>
      </c>
      <c r="B12">
        <v>48.05</v>
      </c>
      <c r="C12">
        <v>10.44</v>
      </c>
      <c r="D12">
        <v>98.1</v>
      </c>
      <c r="E12">
        <v>27.62</v>
      </c>
      <c r="F12">
        <v>148.15</v>
      </c>
      <c r="G12">
        <v>44.66</v>
      </c>
      <c r="H12">
        <v>199.56</v>
      </c>
      <c r="I12">
        <v>62.45</v>
      </c>
      <c r="J12">
        <v>299.42</v>
      </c>
      <c r="K12">
        <v>97.03</v>
      </c>
    </row>
    <row r="13" spans="1:11" x14ac:dyDescent="0.3">
      <c r="A13" t="s">
        <v>45</v>
      </c>
      <c r="B13">
        <v>48.68</v>
      </c>
      <c r="C13">
        <v>10.95</v>
      </c>
      <c r="D13">
        <v>98.85</v>
      </c>
      <c r="E13">
        <v>28.07</v>
      </c>
      <c r="F13">
        <v>149.5</v>
      </c>
      <c r="G13">
        <v>45.36</v>
      </c>
      <c r="H13">
        <v>198.1</v>
      </c>
      <c r="I13">
        <v>62.4</v>
      </c>
      <c r="J13">
        <v>299.44</v>
      </c>
      <c r="K13">
        <v>97.57</v>
      </c>
    </row>
    <row r="14" spans="1:11" x14ac:dyDescent="0.3">
      <c r="A14" t="s">
        <v>46</v>
      </c>
      <c r="B14">
        <v>48.61</v>
      </c>
      <c r="C14">
        <v>10.7</v>
      </c>
      <c r="D14">
        <v>98.98</v>
      </c>
      <c r="E14">
        <v>28.18</v>
      </c>
      <c r="F14">
        <v>148.55000000000001</v>
      </c>
      <c r="G14">
        <v>45.29</v>
      </c>
      <c r="H14">
        <v>198.76</v>
      </c>
      <c r="I14">
        <v>62.79</v>
      </c>
      <c r="J14">
        <v>298.57</v>
      </c>
      <c r="K14">
        <v>97.78</v>
      </c>
    </row>
    <row r="15" spans="1:11" x14ac:dyDescent="0.3">
      <c r="A15" t="s">
        <v>47</v>
      </c>
      <c r="B15">
        <v>48.56</v>
      </c>
      <c r="C15">
        <v>10.78</v>
      </c>
      <c r="D15">
        <v>98.74</v>
      </c>
      <c r="E15">
        <v>28.21</v>
      </c>
      <c r="F15">
        <v>148.91999999999999</v>
      </c>
      <c r="G15">
        <v>45.57</v>
      </c>
      <c r="H15">
        <v>199.3</v>
      </c>
      <c r="I15">
        <v>63.26</v>
      </c>
      <c r="J15">
        <v>299.24</v>
      </c>
      <c r="K15">
        <v>98.46</v>
      </c>
    </row>
    <row r="16" spans="1:11" x14ac:dyDescent="0.3">
      <c r="A16" t="s">
        <v>48</v>
      </c>
      <c r="B16">
        <v>48.56</v>
      </c>
      <c r="C16">
        <v>10.83</v>
      </c>
      <c r="D16">
        <v>98.36</v>
      </c>
      <c r="E16">
        <v>28.37</v>
      </c>
      <c r="F16">
        <v>149.47</v>
      </c>
      <c r="G16">
        <v>46.02</v>
      </c>
      <c r="H16">
        <v>199.15</v>
      </c>
      <c r="I16">
        <v>63.75</v>
      </c>
      <c r="J16">
        <v>298.19</v>
      </c>
      <c r="K16">
        <v>98.54</v>
      </c>
    </row>
    <row r="17" spans="1:11" x14ac:dyDescent="0.3">
      <c r="A17" t="s">
        <v>49</v>
      </c>
      <c r="B17">
        <v>48.3</v>
      </c>
      <c r="C17">
        <v>11</v>
      </c>
      <c r="D17">
        <v>98.39</v>
      </c>
      <c r="E17">
        <v>28.44</v>
      </c>
      <c r="F17">
        <v>149.16999999999999</v>
      </c>
      <c r="G17">
        <v>45.94</v>
      </c>
      <c r="H17">
        <v>198.95</v>
      </c>
      <c r="I17">
        <v>63.51</v>
      </c>
      <c r="J17">
        <v>298.94</v>
      </c>
      <c r="K17">
        <v>98.58</v>
      </c>
    </row>
    <row r="18" spans="1:11" x14ac:dyDescent="0.3">
      <c r="A18" t="s">
        <v>50</v>
      </c>
      <c r="B18">
        <v>48.65</v>
      </c>
      <c r="C18">
        <v>10.85</v>
      </c>
      <c r="D18">
        <v>98.47</v>
      </c>
      <c r="E18">
        <v>27.93</v>
      </c>
      <c r="F18">
        <v>148.35</v>
      </c>
      <c r="G18">
        <v>44.98</v>
      </c>
      <c r="H18">
        <v>199.64</v>
      </c>
      <c r="I18">
        <v>62.51</v>
      </c>
      <c r="J18">
        <v>299.17</v>
      </c>
      <c r="K18">
        <v>96.82</v>
      </c>
    </row>
    <row r="19" spans="1:11" x14ac:dyDescent="0.3">
      <c r="A19" t="s">
        <v>51</v>
      </c>
      <c r="B19">
        <v>48.35</v>
      </c>
      <c r="C19">
        <v>11</v>
      </c>
      <c r="D19">
        <v>98.96</v>
      </c>
      <c r="E19">
        <v>28.31</v>
      </c>
      <c r="F19">
        <v>148.88999999999999</v>
      </c>
      <c r="G19">
        <v>45.58</v>
      </c>
      <c r="H19">
        <v>199.15</v>
      </c>
      <c r="I19">
        <v>62.96</v>
      </c>
      <c r="J19">
        <v>298.57</v>
      </c>
      <c r="K19">
        <v>97.2</v>
      </c>
    </row>
    <row r="20" spans="1:11" x14ac:dyDescent="0.3">
      <c r="A20" t="s">
        <v>52</v>
      </c>
      <c r="B20">
        <v>48.27</v>
      </c>
      <c r="C20">
        <v>10.78</v>
      </c>
      <c r="D20">
        <v>98.86</v>
      </c>
      <c r="E20">
        <v>28.05</v>
      </c>
      <c r="F20">
        <v>149.13</v>
      </c>
      <c r="G20">
        <v>45.42</v>
      </c>
      <c r="H20">
        <v>199.5</v>
      </c>
      <c r="I20">
        <v>63.06</v>
      </c>
      <c r="J20">
        <v>298.75</v>
      </c>
      <c r="K20">
        <v>97.64</v>
      </c>
    </row>
    <row r="21" spans="1:11" x14ac:dyDescent="0.3">
      <c r="A21" t="s">
        <v>53</v>
      </c>
      <c r="B21">
        <v>48.47</v>
      </c>
      <c r="C21">
        <v>10.8</v>
      </c>
      <c r="D21">
        <v>98.56</v>
      </c>
      <c r="E21">
        <v>28.13</v>
      </c>
      <c r="F21">
        <v>149.22999999999999</v>
      </c>
      <c r="G21">
        <v>45.48</v>
      </c>
      <c r="H21">
        <v>199.14</v>
      </c>
      <c r="I21">
        <v>62.82</v>
      </c>
      <c r="J21">
        <v>298.33999999999997</v>
      </c>
      <c r="K21">
        <v>97.35</v>
      </c>
    </row>
    <row r="22" spans="1:11" x14ac:dyDescent="0.3">
      <c r="A22" t="s">
        <v>54</v>
      </c>
      <c r="B22">
        <v>48.71</v>
      </c>
      <c r="C22">
        <v>10.76</v>
      </c>
      <c r="D22">
        <v>98.96</v>
      </c>
      <c r="E22">
        <v>28.02</v>
      </c>
      <c r="F22">
        <v>148.76</v>
      </c>
      <c r="G22">
        <v>45.04</v>
      </c>
      <c r="H22">
        <v>198.18</v>
      </c>
      <c r="I22">
        <v>62.25</v>
      </c>
      <c r="J22">
        <v>299.14</v>
      </c>
      <c r="K22">
        <v>97.06</v>
      </c>
    </row>
    <row r="23" spans="1:11" x14ac:dyDescent="0.3">
      <c r="A23" t="s">
        <v>55</v>
      </c>
      <c r="B23">
        <v>48.39</v>
      </c>
      <c r="C23">
        <v>10.88</v>
      </c>
      <c r="D23">
        <v>98.67</v>
      </c>
      <c r="E23">
        <v>28.18</v>
      </c>
      <c r="F23">
        <v>150.94</v>
      </c>
      <c r="G23">
        <v>46.14</v>
      </c>
      <c r="H23">
        <v>199.2</v>
      </c>
      <c r="I23">
        <v>62.94</v>
      </c>
      <c r="J23">
        <v>298.73</v>
      </c>
      <c r="K23">
        <v>97.37</v>
      </c>
    </row>
    <row r="24" spans="1:11" x14ac:dyDescent="0.3">
      <c r="A24" t="s">
        <v>56</v>
      </c>
      <c r="B24">
        <v>48.18</v>
      </c>
      <c r="C24">
        <v>10.82</v>
      </c>
      <c r="D24">
        <v>98.93</v>
      </c>
      <c r="E24">
        <v>28.03</v>
      </c>
      <c r="F24">
        <v>148.62</v>
      </c>
      <c r="G24">
        <v>44.99</v>
      </c>
      <c r="H24">
        <v>199.34</v>
      </c>
      <c r="I24">
        <v>62.53</v>
      </c>
      <c r="J24">
        <v>299.35000000000002</v>
      </c>
      <c r="K24">
        <v>96.93</v>
      </c>
    </row>
    <row r="25" spans="1:11" x14ac:dyDescent="0.3">
      <c r="A25" t="s">
        <v>57</v>
      </c>
      <c r="B25">
        <v>48.15</v>
      </c>
      <c r="C25">
        <v>10.63</v>
      </c>
      <c r="D25">
        <v>98.92</v>
      </c>
      <c r="E25">
        <v>28.09</v>
      </c>
      <c r="F25">
        <v>148.44999999999999</v>
      </c>
      <c r="G25">
        <v>45.08</v>
      </c>
      <c r="H25">
        <v>200.03</v>
      </c>
      <c r="I25">
        <v>62.92</v>
      </c>
      <c r="J25">
        <v>299.41000000000003</v>
      </c>
      <c r="K25">
        <v>97.21</v>
      </c>
    </row>
    <row r="26" spans="1:11" x14ac:dyDescent="0.3">
      <c r="A26" t="s">
        <v>58</v>
      </c>
      <c r="B26">
        <v>48.09</v>
      </c>
      <c r="C26">
        <v>11.01</v>
      </c>
      <c r="D26">
        <v>98.72</v>
      </c>
      <c r="E26">
        <v>28.62</v>
      </c>
      <c r="F26">
        <v>148.69</v>
      </c>
      <c r="G26">
        <v>45.97</v>
      </c>
      <c r="H26">
        <v>198.63</v>
      </c>
      <c r="I26">
        <v>63.68</v>
      </c>
      <c r="J26">
        <v>299.52999999999997</v>
      </c>
      <c r="K26">
        <v>99.08</v>
      </c>
    </row>
    <row r="27" spans="1:11" x14ac:dyDescent="0.3">
      <c r="A27" t="s">
        <v>59</v>
      </c>
      <c r="B27">
        <v>48.54</v>
      </c>
      <c r="C27">
        <v>11.44</v>
      </c>
      <c r="D27">
        <v>98.89</v>
      </c>
      <c r="E27">
        <v>29.2</v>
      </c>
      <c r="F27">
        <v>148.71</v>
      </c>
      <c r="G27">
        <v>46.83</v>
      </c>
      <c r="H27">
        <v>198.36</v>
      </c>
      <c r="I27">
        <v>64.58</v>
      </c>
      <c r="J27">
        <v>298.58</v>
      </c>
      <c r="K27">
        <v>100.14</v>
      </c>
    </row>
    <row r="28" spans="1:11" x14ac:dyDescent="0.3">
      <c r="A28" t="s">
        <v>60</v>
      </c>
      <c r="B28">
        <v>48.52</v>
      </c>
      <c r="C28">
        <v>11.04</v>
      </c>
      <c r="D28">
        <v>98.56</v>
      </c>
      <c r="E28">
        <v>28.39</v>
      </c>
      <c r="F28">
        <v>148.76</v>
      </c>
      <c r="G28">
        <v>45.91</v>
      </c>
      <c r="H28">
        <v>199.88</v>
      </c>
      <c r="I28">
        <v>63.79</v>
      </c>
      <c r="J28">
        <v>299.35000000000002</v>
      </c>
      <c r="K28">
        <v>98.81</v>
      </c>
    </row>
    <row r="29" spans="1:11" x14ac:dyDescent="0.3">
      <c r="A29" t="s">
        <v>61</v>
      </c>
      <c r="B29">
        <v>48.18</v>
      </c>
      <c r="C29">
        <v>10.85</v>
      </c>
      <c r="D29">
        <v>99.19</v>
      </c>
      <c r="E29">
        <v>28.51</v>
      </c>
      <c r="F29">
        <v>149.06</v>
      </c>
      <c r="G29">
        <v>45.89</v>
      </c>
      <c r="H29">
        <v>198.66</v>
      </c>
      <c r="I29">
        <v>63.44</v>
      </c>
      <c r="J29">
        <v>299.63</v>
      </c>
      <c r="K29">
        <v>98.74</v>
      </c>
    </row>
    <row r="30" spans="1:11" x14ac:dyDescent="0.3">
      <c r="A30" t="s">
        <v>62</v>
      </c>
      <c r="B30">
        <v>48.62</v>
      </c>
      <c r="C30">
        <v>11.16</v>
      </c>
      <c r="D30">
        <v>98.68</v>
      </c>
      <c r="E30">
        <v>28.44</v>
      </c>
      <c r="F30">
        <v>148.22</v>
      </c>
      <c r="G30">
        <v>45.33</v>
      </c>
      <c r="H30">
        <v>199.48</v>
      </c>
      <c r="I30">
        <v>63.2</v>
      </c>
      <c r="J30">
        <v>299.49</v>
      </c>
      <c r="K30">
        <v>97.78</v>
      </c>
    </row>
    <row r="31" spans="1:11" x14ac:dyDescent="0.3">
      <c r="A31" t="s">
        <v>63</v>
      </c>
      <c r="B31">
        <v>48.22</v>
      </c>
      <c r="C31">
        <v>9.76</v>
      </c>
      <c r="D31">
        <v>99.15</v>
      </c>
      <c r="E31">
        <v>27.35</v>
      </c>
      <c r="F31">
        <v>148.18</v>
      </c>
      <c r="G31">
        <v>44.2</v>
      </c>
      <c r="H31">
        <v>198.66</v>
      </c>
      <c r="I31">
        <v>61.68</v>
      </c>
      <c r="J31">
        <v>298.91000000000003</v>
      </c>
      <c r="K31">
        <v>96.39</v>
      </c>
    </row>
    <row r="32" spans="1:11" x14ac:dyDescent="0.3">
      <c r="A32" s="2" t="s">
        <v>19</v>
      </c>
      <c r="B32" s="6">
        <f t="shared" ref="B32:K32" si="0">AVERAGE(B2:B31)</f>
        <v>48.471666666666671</v>
      </c>
      <c r="C32" s="6">
        <f t="shared" si="0"/>
        <v>10.843333333333334</v>
      </c>
      <c r="D32" s="6">
        <f t="shared" si="0"/>
        <v>98.745333333333306</v>
      </c>
      <c r="E32" s="6">
        <f t="shared" si="0"/>
        <v>28.191666666666666</v>
      </c>
      <c r="F32" s="6">
        <f t="shared" si="0"/>
        <v>148.89466666666669</v>
      </c>
      <c r="G32" s="6">
        <f t="shared" si="0"/>
        <v>45.472666666666662</v>
      </c>
      <c r="H32" s="6">
        <f t="shared" si="0"/>
        <v>199.0366666666666</v>
      </c>
      <c r="I32" s="6">
        <f t="shared" si="0"/>
        <v>62.996000000000002</v>
      </c>
      <c r="J32" s="6">
        <f t="shared" si="0"/>
        <v>299.05166666666662</v>
      </c>
      <c r="K32" s="6">
        <f t="shared" si="0"/>
        <v>97.817999999999969</v>
      </c>
    </row>
    <row r="33" spans="1:11" x14ac:dyDescent="0.3">
      <c r="A33" s="2" t="s">
        <v>33</v>
      </c>
      <c r="B33">
        <f t="shared" ref="B33:K33" si="1">STDEV(B2:B31)</f>
        <v>0.20234970298681101</v>
      </c>
      <c r="C33">
        <f t="shared" si="1"/>
        <v>0.28692583846981995</v>
      </c>
      <c r="D33">
        <f t="shared" si="1"/>
        <v>0.31361884766256554</v>
      </c>
      <c r="E33">
        <f t="shared" si="1"/>
        <v>0.34496459921656258</v>
      </c>
      <c r="F33">
        <f t="shared" si="1"/>
        <v>0.56410278675343084</v>
      </c>
      <c r="G33">
        <f t="shared" si="1"/>
        <v>0.53482793451747623</v>
      </c>
      <c r="H33">
        <f t="shared" si="1"/>
        <v>0.56035908027850634</v>
      </c>
      <c r="I33">
        <f t="shared" si="1"/>
        <v>0.63367891358103512</v>
      </c>
      <c r="J33">
        <f t="shared" si="1"/>
        <v>0.49953829257338067</v>
      </c>
      <c r="K33">
        <f t="shared" si="1"/>
        <v>0.87733294902692227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84842-21AC-435D-9708-7A58E3775574}">
  <dimension ref="A1:K33"/>
  <sheetViews>
    <sheetView topLeftCell="A13" workbookViewId="0">
      <selection activeCell="A33" sqref="A33"/>
    </sheetView>
  </sheetViews>
  <sheetFormatPr defaultRowHeight="14.4" x14ac:dyDescent="0.3"/>
  <cols>
    <col min="1" max="1" width="48.886718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64</v>
      </c>
      <c r="B2">
        <v>48.83</v>
      </c>
      <c r="C2">
        <v>5.77</v>
      </c>
      <c r="D2">
        <v>98.95</v>
      </c>
      <c r="E2">
        <v>18.73</v>
      </c>
      <c r="F2">
        <v>148.61000000000001</v>
      </c>
      <c r="G2">
        <v>31.39</v>
      </c>
      <c r="H2">
        <v>198.4</v>
      </c>
      <c r="I2">
        <v>44.29</v>
      </c>
      <c r="J2">
        <v>299.83999999999997</v>
      </c>
      <c r="K2">
        <v>70.72</v>
      </c>
    </row>
    <row r="3" spans="1:11" x14ac:dyDescent="0.3">
      <c r="A3" t="s">
        <v>65</v>
      </c>
      <c r="B3">
        <v>48.93</v>
      </c>
      <c r="C3">
        <v>7.28</v>
      </c>
      <c r="D3">
        <v>98.04</v>
      </c>
      <c r="E3">
        <v>20.059999999999999</v>
      </c>
      <c r="F3">
        <v>150.25</v>
      </c>
      <c r="G3">
        <v>33.71</v>
      </c>
      <c r="H3">
        <v>200.08</v>
      </c>
      <c r="I3">
        <v>46.97</v>
      </c>
      <c r="J3">
        <v>300.01</v>
      </c>
      <c r="K3">
        <v>73.790000000000006</v>
      </c>
    </row>
    <row r="4" spans="1:11" x14ac:dyDescent="0.3">
      <c r="A4" t="s">
        <v>66</v>
      </c>
      <c r="B4">
        <v>48.4</v>
      </c>
      <c r="C4">
        <v>7.08</v>
      </c>
      <c r="D4">
        <v>98.22</v>
      </c>
      <c r="E4">
        <v>19.809999999999999</v>
      </c>
      <c r="F4">
        <v>148.65</v>
      </c>
      <c r="G4">
        <v>32.86</v>
      </c>
      <c r="H4">
        <v>198.98</v>
      </c>
      <c r="I4">
        <v>46</v>
      </c>
      <c r="J4">
        <v>299.12</v>
      </c>
      <c r="K4">
        <v>72.3</v>
      </c>
    </row>
    <row r="5" spans="1:11" x14ac:dyDescent="0.3">
      <c r="A5" t="s">
        <v>67</v>
      </c>
      <c r="B5">
        <v>48.02</v>
      </c>
      <c r="C5">
        <v>6.5</v>
      </c>
      <c r="D5">
        <v>98.7</v>
      </c>
      <c r="E5">
        <v>19.59</v>
      </c>
      <c r="F5">
        <v>149.24</v>
      </c>
      <c r="G5">
        <v>32.69</v>
      </c>
      <c r="H5">
        <v>198.38</v>
      </c>
      <c r="I5">
        <v>45.59</v>
      </c>
      <c r="J5">
        <v>298.91000000000003</v>
      </c>
      <c r="K5">
        <v>72.06</v>
      </c>
    </row>
    <row r="6" spans="1:11" x14ac:dyDescent="0.3">
      <c r="A6" t="s">
        <v>68</v>
      </c>
      <c r="B6">
        <v>48.29</v>
      </c>
      <c r="C6">
        <v>6.63</v>
      </c>
      <c r="D6">
        <v>99.14</v>
      </c>
      <c r="E6">
        <v>19.440000000000001</v>
      </c>
      <c r="F6">
        <v>148.30000000000001</v>
      </c>
      <c r="G6">
        <v>31.86</v>
      </c>
      <c r="H6">
        <v>199.31</v>
      </c>
      <c r="I6">
        <v>44.67</v>
      </c>
      <c r="J6">
        <v>298.26</v>
      </c>
      <c r="K6">
        <v>70.180000000000007</v>
      </c>
    </row>
    <row r="7" spans="1:11" x14ac:dyDescent="0.3">
      <c r="A7" t="s">
        <v>69</v>
      </c>
      <c r="B7">
        <v>48.41</v>
      </c>
      <c r="C7">
        <v>6.88</v>
      </c>
      <c r="D7">
        <v>98.08</v>
      </c>
      <c r="E7">
        <v>19.71</v>
      </c>
      <c r="F7">
        <v>148.76</v>
      </c>
      <c r="G7">
        <v>32.840000000000003</v>
      </c>
      <c r="H7">
        <v>198.91</v>
      </c>
      <c r="I7">
        <v>45.91</v>
      </c>
      <c r="J7">
        <v>298.05</v>
      </c>
      <c r="K7">
        <v>72.03</v>
      </c>
    </row>
    <row r="8" spans="1:11" x14ac:dyDescent="0.3">
      <c r="A8" t="s">
        <v>70</v>
      </c>
      <c r="B8">
        <v>48.93</v>
      </c>
      <c r="C8">
        <v>7.2</v>
      </c>
      <c r="D8">
        <v>98.17</v>
      </c>
      <c r="E8">
        <v>19.93</v>
      </c>
      <c r="F8">
        <v>149.65</v>
      </c>
      <c r="G8">
        <v>32.99</v>
      </c>
      <c r="H8">
        <v>199.54</v>
      </c>
      <c r="I8">
        <v>45.88</v>
      </c>
      <c r="J8">
        <v>298.62</v>
      </c>
      <c r="K8">
        <v>71.7</v>
      </c>
    </row>
    <row r="9" spans="1:11" x14ac:dyDescent="0.3">
      <c r="A9" t="s">
        <v>71</v>
      </c>
      <c r="B9">
        <v>48.53</v>
      </c>
      <c r="C9">
        <v>6.49</v>
      </c>
      <c r="D9">
        <v>98.3</v>
      </c>
      <c r="E9">
        <v>19.239999999999998</v>
      </c>
      <c r="F9">
        <v>149.51</v>
      </c>
      <c r="G9">
        <v>32.28</v>
      </c>
      <c r="H9">
        <v>198.76</v>
      </c>
      <c r="I9">
        <v>44.99</v>
      </c>
      <c r="J9">
        <v>298.5</v>
      </c>
      <c r="K9">
        <v>70.91</v>
      </c>
    </row>
    <row r="10" spans="1:11" x14ac:dyDescent="0.3">
      <c r="A10" t="s">
        <v>72</v>
      </c>
      <c r="B10">
        <v>48.48</v>
      </c>
      <c r="C10">
        <v>6.42</v>
      </c>
      <c r="D10">
        <v>98.45</v>
      </c>
      <c r="E10">
        <v>19.36</v>
      </c>
      <c r="F10">
        <v>148.9</v>
      </c>
      <c r="G10">
        <v>32.200000000000003</v>
      </c>
      <c r="H10">
        <v>198.85</v>
      </c>
      <c r="I10">
        <v>45.34</v>
      </c>
      <c r="J10">
        <v>299.24</v>
      </c>
      <c r="K10">
        <v>71.52</v>
      </c>
    </row>
    <row r="11" spans="1:11" x14ac:dyDescent="0.3">
      <c r="A11" t="s">
        <v>73</v>
      </c>
      <c r="B11">
        <v>48.38</v>
      </c>
      <c r="C11">
        <v>5.81</v>
      </c>
      <c r="D11">
        <v>99.11</v>
      </c>
      <c r="E11">
        <v>19.03</v>
      </c>
      <c r="F11">
        <v>148.97999999999999</v>
      </c>
      <c r="G11">
        <v>31.79</v>
      </c>
      <c r="H11">
        <v>199.27</v>
      </c>
      <c r="I11">
        <v>44.86</v>
      </c>
      <c r="J11">
        <v>298.33999999999997</v>
      </c>
      <c r="K11">
        <v>70.78</v>
      </c>
    </row>
    <row r="12" spans="1:11" x14ac:dyDescent="0.3">
      <c r="A12" t="s">
        <v>74</v>
      </c>
      <c r="B12">
        <v>48.26</v>
      </c>
      <c r="C12">
        <v>6.87</v>
      </c>
      <c r="D12">
        <v>99.03</v>
      </c>
      <c r="E12">
        <v>19.899999999999999</v>
      </c>
      <c r="F12">
        <v>149.26</v>
      </c>
      <c r="G12">
        <v>32.89</v>
      </c>
      <c r="H12">
        <v>198.33</v>
      </c>
      <c r="I12">
        <v>45.62</v>
      </c>
      <c r="J12">
        <v>298.32</v>
      </c>
      <c r="K12">
        <v>71.94</v>
      </c>
    </row>
    <row r="13" spans="1:11" x14ac:dyDescent="0.3">
      <c r="A13" t="s">
        <v>75</v>
      </c>
      <c r="B13">
        <v>48.31</v>
      </c>
      <c r="C13">
        <v>6.73</v>
      </c>
      <c r="D13">
        <v>98.37</v>
      </c>
      <c r="E13">
        <v>19.59</v>
      </c>
      <c r="F13">
        <v>149.47999999999999</v>
      </c>
      <c r="G13">
        <v>32.68</v>
      </c>
      <c r="H13">
        <v>198.59</v>
      </c>
      <c r="I13">
        <v>45.35</v>
      </c>
      <c r="J13">
        <v>298.41000000000003</v>
      </c>
      <c r="K13">
        <v>71.22</v>
      </c>
    </row>
    <row r="14" spans="1:11" x14ac:dyDescent="0.3">
      <c r="A14" t="s">
        <v>76</v>
      </c>
      <c r="B14">
        <v>48.08</v>
      </c>
      <c r="C14">
        <v>4.9000000000000004</v>
      </c>
      <c r="D14">
        <v>98.91</v>
      </c>
      <c r="E14">
        <v>17.760000000000002</v>
      </c>
      <c r="F14">
        <v>149.36000000000001</v>
      </c>
      <c r="G14">
        <v>30.61</v>
      </c>
      <c r="H14">
        <v>198.2</v>
      </c>
      <c r="I14">
        <v>43.25</v>
      </c>
      <c r="J14">
        <v>299.42</v>
      </c>
      <c r="K14">
        <v>69.069999999999993</v>
      </c>
    </row>
    <row r="15" spans="1:11" x14ac:dyDescent="0.3">
      <c r="A15" t="s">
        <v>77</v>
      </c>
      <c r="B15">
        <v>48.91</v>
      </c>
      <c r="C15">
        <v>7.13</v>
      </c>
      <c r="D15">
        <v>98.41</v>
      </c>
      <c r="E15">
        <v>20.010000000000002</v>
      </c>
      <c r="F15">
        <v>148.31</v>
      </c>
      <c r="G15">
        <v>32.799999999999997</v>
      </c>
      <c r="H15">
        <v>199.81</v>
      </c>
      <c r="I15">
        <v>46.32</v>
      </c>
      <c r="J15">
        <v>298.57</v>
      </c>
      <c r="K15">
        <v>72.36</v>
      </c>
    </row>
    <row r="16" spans="1:11" x14ac:dyDescent="0.3">
      <c r="A16" t="s">
        <v>78</v>
      </c>
      <c r="B16">
        <v>48.2</v>
      </c>
      <c r="C16">
        <v>5.73</v>
      </c>
      <c r="D16">
        <v>99.25</v>
      </c>
      <c r="E16">
        <v>18.690000000000001</v>
      </c>
      <c r="F16">
        <v>149.16999999999999</v>
      </c>
      <c r="G16">
        <v>31.4</v>
      </c>
      <c r="H16">
        <v>198.5</v>
      </c>
      <c r="I16">
        <v>44.12</v>
      </c>
      <c r="J16">
        <v>299.17</v>
      </c>
      <c r="K16">
        <v>70.09</v>
      </c>
    </row>
    <row r="17" spans="1:11" x14ac:dyDescent="0.3">
      <c r="A17" t="s">
        <v>79</v>
      </c>
      <c r="B17">
        <v>48.37</v>
      </c>
      <c r="C17">
        <v>6.56</v>
      </c>
      <c r="D17">
        <v>98.88</v>
      </c>
      <c r="E17">
        <v>19.54</v>
      </c>
      <c r="F17">
        <v>149.22999999999999</v>
      </c>
      <c r="G17">
        <v>32.47</v>
      </c>
      <c r="H17">
        <v>198.66</v>
      </c>
      <c r="I17">
        <v>45.24</v>
      </c>
      <c r="J17">
        <v>299.10000000000002</v>
      </c>
      <c r="K17">
        <v>71.489999999999995</v>
      </c>
    </row>
    <row r="18" spans="1:11" x14ac:dyDescent="0.3">
      <c r="A18" t="s">
        <v>80</v>
      </c>
      <c r="B18">
        <v>48.45</v>
      </c>
      <c r="C18">
        <v>6.81</v>
      </c>
      <c r="D18">
        <v>98.79</v>
      </c>
      <c r="E18">
        <v>19.93</v>
      </c>
      <c r="F18">
        <v>149.66999999999999</v>
      </c>
      <c r="G18">
        <v>32.909999999999997</v>
      </c>
      <c r="H18">
        <v>199.6</v>
      </c>
      <c r="I18">
        <v>45.94</v>
      </c>
      <c r="J18">
        <v>299.13</v>
      </c>
      <c r="K18">
        <v>72.239999999999995</v>
      </c>
    </row>
    <row r="19" spans="1:11" x14ac:dyDescent="0.3">
      <c r="A19" t="s">
        <v>81</v>
      </c>
      <c r="B19">
        <v>48.7</v>
      </c>
      <c r="C19">
        <v>5.79</v>
      </c>
      <c r="D19">
        <v>98.42</v>
      </c>
      <c r="E19">
        <v>18.48</v>
      </c>
      <c r="F19">
        <v>148.91999999999999</v>
      </c>
      <c r="G19">
        <v>31.47</v>
      </c>
      <c r="H19">
        <v>199.73</v>
      </c>
      <c r="I19">
        <v>44.71</v>
      </c>
      <c r="J19">
        <v>299.48</v>
      </c>
      <c r="K19">
        <v>70.989999999999995</v>
      </c>
    </row>
    <row r="20" spans="1:11" x14ac:dyDescent="0.3">
      <c r="A20" t="s">
        <v>82</v>
      </c>
      <c r="B20">
        <v>49.04</v>
      </c>
      <c r="C20">
        <v>7.62</v>
      </c>
      <c r="D20">
        <v>99.77</v>
      </c>
      <c r="E20">
        <v>20.81</v>
      </c>
      <c r="F20">
        <v>150.06</v>
      </c>
      <c r="G20">
        <v>34.17</v>
      </c>
      <c r="H20">
        <v>200.35</v>
      </c>
      <c r="I20">
        <v>47.56</v>
      </c>
      <c r="J20">
        <v>298.23</v>
      </c>
      <c r="K20">
        <v>73.72</v>
      </c>
    </row>
    <row r="21" spans="1:11" x14ac:dyDescent="0.3">
      <c r="A21" t="s">
        <v>83</v>
      </c>
      <c r="B21">
        <v>48.88</v>
      </c>
      <c r="C21">
        <v>5.79</v>
      </c>
      <c r="D21">
        <v>99.67</v>
      </c>
      <c r="E21">
        <v>18.690000000000001</v>
      </c>
      <c r="F21">
        <v>150.16</v>
      </c>
      <c r="G21">
        <v>31.77</v>
      </c>
      <c r="H21">
        <v>200</v>
      </c>
      <c r="I21">
        <v>44.73</v>
      </c>
      <c r="J21">
        <v>298.61</v>
      </c>
      <c r="K21">
        <v>70.61</v>
      </c>
    </row>
    <row r="22" spans="1:11" x14ac:dyDescent="0.3">
      <c r="A22" t="s">
        <v>84</v>
      </c>
      <c r="B22">
        <v>48.3</v>
      </c>
      <c r="C22">
        <v>6.83</v>
      </c>
      <c r="D22">
        <v>99.2</v>
      </c>
      <c r="E22">
        <v>20.28</v>
      </c>
      <c r="F22">
        <v>149.57</v>
      </c>
      <c r="G22">
        <v>33.44</v>
      </c>
      <c r="H22">
        <v>200.5</v>
      </c>
      <c r="I22">
        <v>47</v>
      </c>
      <c r="J22">
        <v>300.12</v>
      </c>
      <c r="K22">
        <v>73.599999999999994</v>
      </c>
    </row>
    <row r="23" spans="1:11" x14ac:dyDescent="0.3">
      <c r="A23" t="s">
        <v>85</v>
      </c>
      <c r="B23">
        <v>48.65</v>
      </c>
      <c r="C23">
        <v>6.9</v>
      </c>
      <c r="D23">
        <v>98.05</v>
      </c>
      <c r="E23">
        <v>19.78</v>
      </c>
      <c r="F23">
        <v>149.79</v>
      </c>
      <c r="G23">
        <v>33.08</v>
      </c>
      <c r="H23">
        <v>198.88</v>
      </c>
      <c r="I23">
        <v>46.03</v>
      </c>
      <c r="J23">
        <v>298.87</v>
      </c>
      <c r="K23">
        <v>72.38</v>
      </c>
    </row>
    <row r="24" spans="1:11" x14ac:dyDescent="0.3">
      <c r="A24" t="s">
        <v>86</v>
      </c>
      <c r="B24">
        <v>48.18</v>
      </c>
      <c r="C24">
        <v>6.75</v>
      </c>
      <c r="D24">
        <v>98.3</v>
      </c>
      <c r="E24">
        <v>19.739999999999998</v>
      </c>
      <c r="F24">
        <v>149.87</v>
      </c>
      <c r="G24">
        <v>32.81</v>
      </c>
      <c r="H24">
        <v>198.81</v>
      </c>
      <c r="I24">
        <v>45.42</v>
      </c>
      <c r="J24">
        <v>299.83999999999997</v>
      </c>
      <c r="K24">
        <v>71.91</v>
      </c>
    </row>
    <row r="25" spans="1:11" x14ac:dyDescent="0.3">
      <c r="A25" t="s">
        <v>87</v>
      </c>
      <c r="B25">
        <v>48.09</v>
      </c>
      <c r="C25">
        <v>7.29</v>
      </c>
      <c r="D25">
        <v>98.45</v>
      </c>
      <c r="E25">
        <v>20.309999999999999</v>
      </c>
      <c r="F25">
        <v>148.94</v>
      </c>
      <c r="G25">
        <v>33.26</v>
      </c>
      <c r="H25">
        <v>198.74</v>
      </c>
      <c r="I25">
        <v>46.24</v>
      </c>
      <c r="J25">
        <v>299.45</v>
      </c>
      <c r="K25">
        <v>72.650000000000006</v>
      </c>
    </row>
    <row r="26" spans="1:11" x14ac:dyDescent="0.3">
      <c r="A26" t="s">
        <v>88</v>
      </c>
      <c r="B26">
        <v>48.07</v>
      </c>
      <c r="C26">
        <v>6.9</v>
      </c>
      <c r="D26">
        <v>98.8</v>
      </c>
      <c r="E26">
        <v>19.98</v>
      </c>
      <c r="F26">
        <v>148.26</v>
      </c>
      <c r="G26">
        <v>32.83</v>
      </c>
      <c r="H26">
        <v>198.35</v>
      </c>
      <c r="I26">
        <v>45.91</v>
      </c>
      <c r="J26">
        <v>298.32</v>
      </c>
      <c r="K26">
        <v>72.28</v>
      </c>
    </row>
    <row r="27" spans="1:11" x14ac:dyDescent="0.3">
      <c r="A27" t="s">
        <v>89</v>
      </c>
      <c r="B27">
        <v>48.52</v>
      </c>
      <c r="C27">
        <v>6.4</v>
      </c>
      <c r="D27">
        <v>98.87</v>
      </c>
      <c r="E27">
        <v>19.510000000000002</v>
      </c>
      <c r="F27">
        <v>149.01</v>
      </c>
      <c r="G27">
        <v>32.29</v>
      </c>
      <c r="H27">
        <v>198.77</v>
      </c>
      <c r="I27">
        <v>45.12</v>
      </c>
      <c r="J27">
        <v>298.74</v>
      </c>
      <c r="K27">
        <v>71.03</v>
      </c>
    </row>
    <row r="28" spans="1:11" x14ac:dyDescent="0.3">
      <c r="A28" t="s">
        <v>90</v>
      </c>
      <c r="B28">
        <v>48.48</v>
      </c>
      <c r="C28">
        <v>7.08</v>
      </c>
      <c r="D28">
        <v>98.46</v>
      </c>
      <c r="E28">
        <v>19.88</v>
      </c>
      <c r="F28">
        <v>148.12</v>
      </c>
      <c r="G28">
        <v>32.33</v>
      </c>
      <c r="H28">
        <v>198.67</v>
      </c>
      <c r="I28">
        <v>45.08</v>
      </c>
      <c r="J28">
        <v>298.79000000000002</v>
      </c>
      <c r="K28">
        <v>70.849999999999994</v>
      </c>
    </row>
    <row r="29" spans="1:11" x14ac:dyDescent="0.3">
      <c r="A29" t="s">
        <v>91</v>
      </c>
      <c r="B29">
        <v>48.62</v>
      </c>
      <c r="C29">
        <v>6.36</v>
      </c>
      <c r="D29">
        <v>98.6</v>
      </c>
      <c r="E29">
        <v>19.059999999999999</v>
      </c>
      <c r="F29">
        <v>149.13</v>
      </c>
      <c r="G29">
        <v>31.91</v>
      </c>
      <c r="H29">
        <v>199.56</v>
      </c>
      <c r="I29">
        <v>44.83</v>
      </c>
      <c r="J29">
        <v>299.3</v>
      </c>
      <c r="K29">
        <v>70.45</v>
      </c>
    </row>
    <row r="30" spans="1:11" x14ac:dyDescent="0.3">
      <c r="A30" t="s">
        <v>92</v>
      </c>
      <c r="B30">
        <v>48.02</v>
      </c>
      <c r="C30">
        <v>7.01</v>
      </c>
      <c r="D30">
        <v>98.1</v>
      </c>
      <c r="E30">
        <v>19.84</v>
      </c>
      <c r="F30">
        <v>148.57</v>
      </c>
      <c r="G30">
        <v>32.659999999999997</v>
      </c>
      <c r="H30">
        <v>199.18</v>
      </c>
      <c r="I30">
        <v>45.48</v>
      </c>
      <c r="J30">
        <v>298.05</v>
      </c>
      <c r="K30">
        <v>71.17</v>
      </c>
    </row>
    <row r="31" spans="1:11" x14ac:dyDescent="0.3">
      <c r="A31" t="s">
        <v>93</v>
      </c>
      <c r="B31">
        <v>48.26</v>
      </c>
      <c r="C31">
        <v>5.97</v>
      </c>
      <c r="D31">
        <v>99.14</v>
      </c>
      <c r="E31">
        <v>19.170000000000002</v>
      </c>
      <c r="F31">
        <v>149.68</v>
      </c>
      <c r="G31">
        <v>32.22</v>
      </c>
      <c r="H31">
        <v>199.19</v>
      </c>
      <c r="I31">
        <v>44.89</v>
      </c>
      <c r="J31">
        <v>298.29000000000002</v>
      </c>
      <c r="K31">
        <v>70.87</v>
      </c>
    </row>
    <row r="32" spans="1:11" x14ac:dyDescent="0.3">
      <c r="A32" s="2" t="s">
        <v>19</v>
      </c>
      <c r="B32" s="6">
        <f t="shared" ref="B32:K32" si="0">AVERAGE(B2:B31)</f>
        <v>48.452999999999996</v>
      </c>
      <c r="C32" s="6">
        <f t="shared" si="0"/>
        <v>6.5826666666666691</v>
      </c>
      <c r="D32" s="6">
        <f t="shared" si="0"/>
        <v>98.687666666666672</v>
      </c>
      <c r="E32" s="6">
        <f t="shared" si="0"/>
        <v>19.528333333333332</v>
      </c>
      <c r="F32" s="6">
        <f t="shared" si="0"/>
        <v>149.18033333333335</v>
      </c>
      <c r="G32" s="6">
        <f t="shared" si="0"/>
        <v>32.487000000000002</v>
      </c>
      <c r="H32" s="6">
        <f t="shared" si="0"/>
        <v>199.09666666666672</v>
      </c>
      <c r="I32" s="6">
        <f t="shared" si="0"/>
        <v>45.44466666666667</v>
      </c>
      <c r="J32" s="6">
        <f t="shared" si="0"/>
        <v>298.90333333333336</v>
      </c>
      <c r="K32" s="6">
        <f t="shared" si="0"/>
        <v>71.563666666666663</v>
      </c>
    </row>
    <row r="33" spans="1:11" x14ac:dyDescent="0.3">
      <c r="A33" s="2" t="s">
        <v>33</v>
      </c>
      <c r="B33">
        <f t="shared" ref="B33:K33" si="1">STDEV(B2:B31)</f>
        <v>0.29742747594712154</v>
      </c>
      <c r="C33">
        <f t="shared" si="1"/>
        <v>0.60260888747542374</v>
      </c>
      <c r="D33">
        <f t="shared" si="1"/>
        <v>0.46910540932446254</v>
      </c>
      <c r="E33">
        <f t="shared" si="1"/>
        <v>0.62785394377406212</v>
      </c>
      <c r="F33">
        <f t="shared" si="1"/>
        <v>0.58029411884648219</v>
      </c>
      <c r="G33">
        <f t="shared" si="1"/>
        <v>0.75202324798987541</v>
      </c>
      <c r="H33">
        <f t="shared" si="1"/>
        <v>0.62994982467589899</v>
      </c>
      <c r="I33">
        <f t="shared" si="1"/>
        <v>0.89599004510069247</v>
      </c>
      <c r="J33">
        <f t="shared" si="1"/>
        <v>0.59476644696618319</v>
      </c>
      <c r="K33">
        <f t="shared" si="1"/>
        <v>1.0920195884732082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FA008-B616-4147-859E-E63F9107D87A}">
  <dimension ref="A1:K33"/>
  <sheetViews>
    <sheetView topLeftCell="A10" workbookViewId="0">
      <selection activeCell="A33" sqref="A33"/>
    </sheetView>
  </sheetViews>
  <sheetFormatPr defaultRowHeight="14.4" x14ac:dyDescent="0.3"/>
  <cols>
    <col min="1" max="1" width="48.886718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94</v>
      </c>
      <c r="B2">
        <v>48.35</v>
      </c>
      <c r="C2">
        <v>13.42</v>
      </c>
      <c r="D2">
        <v>99.14</v>
      </c>
      <c r="E2">
        <v>33.56</v>
      </c>
      <c r="F2">
        <v>148.91999999999999</v>
      </c>
      <c r="G2">
        <v>53.62</v>
      </c>
      <c r="H2">
        <v>198.55</v>
      </c>
      <c r="I2">
        <v>73.680000000000007</v>
      </c>
      <c r="J2">
        <v>298.18</v>
      </c>
      <c r="K2">
        <v>113.97</v>
      </c>
    </row>
    <row r="3" spans="1:11" x14ac:dyDescent="0.3">
      <c r="A3" t="s">
        <v>95</v>
      </c>
      <c r="B3">
        <v>48.26</v>
      </c>
      <c r="C3">
        <v>13.05</v>
      </c>
      <c r="D3">
        <v>98.9</v>
      </c>
      <c r="E3">
        <v>33.33</v>
      </c>
      <c r="F3">
        <v>149.52000000000001</v>
      </c>
      <c r="G3">
        <v>53.72</v>
      </c>
      <c r="H3">
        <v>199.13</v>
      </c>
      <c r="I3">
        <v>73.72</v>
      </c>
      <c r="J3">
        <v>299.12</v>
      </c>
      <c r="K3">
        <v>114.3</v>
      </c>
    </row>
    <row r="4" spans="1:11" x14ac:dyDescent="0.3">
      <c r="A4" t="s">
        <v>96</v>
      </c>
      <c r="B4">
        <v>48.1</v>
      </c>
      <c r="C4">
        <v>13.28</v>
      </c>
      <c r="D4">
        <v>98.13</v>
      </c>
      <c r="E4">
        <v>33.4</v>
      </c>
      <c r="F4">
        <v>149.77000000000001</v>
      </c>
      <c r="G4">
        <v>54.22</v>
      </c>
      <c r="H4">
        <v>199.21</v>
      </c>
      <c r="I4">
        <v>74.36</v>
      </c>
      <c r="J4">
        <v>298.08999999999997</v>
      </c>
      <c r="K4">
        <v>114.69</v>
      </c>
    </row>
    <row r="5" spans="1:11" x14ac:dyDescent="0.3">
      <c r="A5" t="s">
        <v>97</v>
      </c>
      <c r="B5">
        <v>48.82</v>
      </c>
      <c r="C5">
        <v>12.65</v>
      </c>
      <c r="D5">
        <v>98.18</v>
      </c>
      <c r="E5">
        <v>32.44</v>
      </c>
      <c r="F5">
        <v>149.01</v>
      </c>
      <c r="G5">
        <v>52.88</v>
      </c>
      <c r="H5">
        <v>198.1</v>
      </c>
      <c r="I5">
        <v>72.75</v>
      </c>
      <c r="J5">
        <v>299.54000000000002</v>
      </c>
      <c r="K5">
        <v>113.63</v>
      </c>
    </row>
    <row r="6" spans="1:11" x14ac:dyDescent="0.3">
      <c r="A6" t="s">
        <v>98</v>
      </c>
      <c r="B6">
        <v>48.58</v>
      </c>
      <c r="C6">
        <v>12.83</v>
      </c>
      <c r="D6">
        <v>99.04</v>
      </c>
      <c r="E6">
        <v>33.01</v>
      </c>
      <c r="F6">
        <v>149.55000000000001</v>
      </c>
      <c r="G6">
        <v>53.3</v>
      </c>
      <c r="H6">
        <v>199.69</v>
      </c>
      <c r="I6">
        <v>73.66</v>
      </c>
      <c r="J6">
        <v>298.61</v>
      </c>
      <c r="K6">
        <v>113.64</v>
      </c>
    </row>
    <row r="7" spans="1:11" x14ac:dyDescent="0.3">
      <c r="A7" t="s">
        <v>99</v>
      </c>
      <c r="B7">
        <v>48.88</v>
      </c>
      <c r="C7">
        <v>13.56</v>
      </c>
      <c r="D7">
        <v>99.4</v>
      </c>
      <c r="E7">
        <v>33.869999999999997</v>
      </c>
      <c r="F7">
        <v>148.08000000000001</v>
      </c>
      <c r="G7">
        <v>53.53</v>
      </c>
      <c r="H7">
        <v>199.05</v>
      </c>
      <c r="I7">
        <v>74.3</v>
      </c>
      <c r="J7">
        <v>299.02999999999997</v>
      </c>
      <c r="K7">
        <v>115.09</v>
      </c>
    </row>
    <row r="8" spans="1:11" x14ac:dyDescent="0.3">
      <c r="A8" t="s">
        <v>100</v>
      </c>
      <c r="B8">
        <v>48.48</v>
      </c>
      <c r="C8">
        <v>13.31</v>
      </c>
      <c r="D8">
        <v>98.3</v>
      </c>
      <c r="E8">
        <v>33.31</v>
      </c>
      <c r="F8">
        <v>148.31</v>
      </c>
      <c r="G8">
        <v>53.41</v>
      </c>
      <c r="H8">
        <v>198.86</v>
      </c>
      <c r="I8">
        <v>73.87</v>
      </c>
      <c r="J8">
        <v>298.24</v>
      </c>
      <c r="K8">
        <v>114.03</v>
      </c>
    </row>
    <row r="9" spans="1:11" x14ac:dyDescent="0.3">
      <c r="A9" t="s">
        <v>101</v>
      </c>
      <c r="B9">
        <v>48.22</v>
      </c>
      <c r="C9">
        <v>13.05</v>
      </c>
      <c r="D9">
        <v>98.6</v>
      </c>
      <c r="E9">
        <v>33.159999999999997</v>
      </c>
      <c r="F9">
        <v>148.47999999999999</v>
      </c>
      <c r="G9">
        <v>53.32</v>
      </c>
      <c r="H9">
        <v>199.57</v>
      </c>
      <c r="I9">
        <v>74.069999999999993</v>
      </c>
      <c r="J9">
        <v>300.20999999999998</v>
      </c>
      <c r="K9">
        <v>114.81</v>
      </c>
    </row>
    <row r="10" spans="1:11" x14ac:dyDescent="0.3">
      <c r="A10" t="s">
        <v>102</v>
      </c>
      <c r="B10">
        <v>48.66</v>
      </c>
      <c r="C10">
        <v>12.99</v>
      </c>
      <c r="D10">
        <v>98.13</v>
      </c>
      <c r="E10">
        <v>32.72</v>
      </c>
      <c r="F10">
        <v>148.04</v>
      </c>
      <c r="G10">
        <v>52.91</v>
      </c>
      <c r="H10">
        <v>198.99</v>
      </c>
      <c r="I10">
        <v>73.3</v>
      </c>
      <c r="J10">
        <v>299.66000000000003</v>
      </c>
      <c r="K10">
        <v>113.61</v>
      </c>
    </row>
    <row r="11" spans="1:11" x14ac:dyDescent="0.3">
      <c r="A11" t="s">
        <v>103</v>
      </c>
      <c r="B11">
        <v>48.61</v>
      </c>
      <c r="C11">
        <v>13.17</v>
      </c>
      <c r="D11">
        <v>99.05</v>
      </c>
      <c r="E11">
        <v>33.31</v>
      </c>
      <c r="F11">
        <v>149.77000000000001</v>
      </c>
      <c r="G11">
        <v>53.54</v>
      </c>
      <c r="H11">
        <v>199.82</v>
      </c>
      <c r="I11">
        <v>73.680000000000007</v>
      </c>
      <c r="J11">
        <v>298.08999999999997</v>
      </c>
      <c r="K11">
        <v>113.14</v>
      </c>
    </row>
    <row r="12" spans="1:11" x14ac:dyDescent="0.3">
      <c r="A12" t="s">
        <v>104</v>
      </c>
      <c r="B12">
        <v>48.26</v>
      </c>
      <c r="C12">
        <v>12.75</v>
      </c>
      <c r="D12">
        <v>98.73</v>
      </c>
      <c r="E12">
        <v>32.93</v>
      </c>
      <c r="F12">
        <v>148.84</v>
      </c>
      <c r="G12">
        <v>52.93</v>
      </c>
      <c r="H12">
        <v>198.18</v>
      </c>
      <c r="I12">
        <v>72.89</v>
      </c>
      <c r="J12">
        <v>298.06</v>
      </c>
      <c r="K12">
        <v>113.04</v>
      </c>
    </row>
    <row r="13" spans="1:11" x14ac:dyDescent="0.3">
      <c r="A13" t="s">
        <v>105</v>
      </c>
      <c r="B13">
        <v>48.09</v>
      </c>
      <c r="C13">
        <v>13.01</v>
      </c>
      <c r="D13">
        <v>98.26</v>
      </c>
      <c r="E13">
        <v>33.020000000000003</v>
      </c>
      <c r="F13">
        <v>148.99</v>
      </c>
      <c r="G13">
        <v>53.48</v>
      </c>
      <c r="H13">
        <v>199.65</v>
      </c>
      <c r="I13">
        <v>73.75</v>
      </c>
      <c r="J13">
        <v>299.63</v>
      </c>
      <c r="K13">
        <v>114.09</v>
      </c>
    </row>
    <row r="14" spans="1:11" x14ac:dyDescent="0.3">
      <c r="A14" t="s">
        <v>106</v>
      </c>
      <c r="B14">
        <v>48.54</v>
      </c>
      <c r="C14">
        <v>13.37</v>
      </c>
      <c r="D14">
        <v>99.24</v>
      </c>
      <c r="E14">
        <v>33.74</v>
      </c>
      <c r="F14">
        <v>148.04</v>
      </c>
      <c r="G14">
        <v>53.48</v>
      </c>
      <c r="H14">
        <v>199.93</v>
      </c>
      <c r="I14">
        <v>74.569999999999993</v>
      </c>
      <c r="J14">
        <v>299.05</v>
      </c>
      <c r="K14">
        <v>114.72</v>
      </c>
    </row>
    <row r="15" spans="1:11" x14ac:dyDescent="0.3">
      <c r="A15" t="s">
        <v>107</v>
      </c>
      <c r="B15">
        <v>48.67</v>
      </c>
      <c r="C15">
        <v>13.13</v>
      </c>
      <c r="D15">
        <v>99.14</v>
      </c>
      <c r="E15">
        <v>33.299999999999997</v>
      </c>
      <c r="F15">
        <v>148.02000000000001</v>
      </c>
      <c r="G15">
        <v>53.04</v>
      </c>
      <c r="H15">
        <v>199.53</v>
      </c>
      <c r="I15">
        <v>73.63</v>
      </c>
      <c r="J15">
        <v>299.83</v>
      </c>
      <c r="K15">
        <v>114.1</v>
      </c>
    </row>
    <row r="16" spans="1:11" x14ac:dyDescent="0.3">
      <c r="A16" t="s">
        <v>108</v>
      </c>
      <c r="B16">
        <v>48.22</v>
      </c>
      <c r="C16">
        <v>13.19</v>
      </c>
      <c r="D16">
        <v>98.49</v>
      </c>
      <c r="E16">
        <v>33.130000000000003</v>
      </c>
      <c r="F16">
        <v>148.12</v>
      </c>
      <c r="G16">
        <v>53.15</v>
      </c>
      <c r="H16">
        <v>199.74</v>
      </c>
      <c r="I16">
        <v>74.099999999999994</v>
      </c>
      <c r="J16">
        <v>298.60000000000002</v>
      </c>
      <c r="K16">
        <v>114.19</v>
      </c>
    </row>
    <row r="17" spans="1:11" x14ac:dyDescent="0.3">
      <c r="A17" t="s">
        <v>109</v>
      </c>
      <c r="B17">
        <v>48.38</v>
      </c>
      <c r="C17">
        <v>13.12</v>
      </c>
      <c r="D17">
        <v>98.73</v>
      </c>
      <c r="E17">
        <v>33.200000000000003</v>
      </c>
      <c r="F17">
        <v>148.72999999999999</v>
      </c>
      <c r="G17">
        <v>53.42</v>
      </c>
      <c r="H17">
        <v>198.13</v>
      </c>
      <c r="I17">
        <v>73.41</v>
      </c>
      <c r="J17">
        <v>299.07</v>
      </c>
      <c r="K17">
        <v>114.04</v>
      </c>
    </row>
    <row r="18" spans="1:11" x14ac:dyDescent="0.3">
      <c r="A18" t="s">
        <v>110</v>
      </c>
      <c r="B18">
        <v>48.18</v>
      </c>
      <c r="C18">
        <v>12.92</v>
      </c>
      <c r="D18">
        <v>98.03</v>
      </c>
      <c r="E18">
        <v>33.04</v>
      </c>
      <c r="F18">
        <v>148.49</v>
      </c>
      <c r="G18">
        <v>53.26</v>
      </c>
      <c r="H18">
        <v>199.01</v>
      </c>
      <c r="I18">
        <v>73.89</v>
      </c>
      <c r="J18">
        <v>299.77999999999997</v>
      </c>
      <c r="K18">
        <v>114.94</v>
      </c>
    </row>
    <row r="19" spans="1:11" x14ac:dyDescent="0.3">
      <c r="A19" t="s">
        <v>111</v>
      </c>
      <c r="B19">
        <v>48.3</v>
      </c>
      <c r="C19">
        <v>12.98</v>
      </c>
      <c r="D19">
        <v>98.07</v>
      </c>
      <c r="E19">
        <v>33.130000000000003</v>
      </c>
      <c r="F19">
        <v>149.36000000000001</v>
      </c>
      <c r="G19">
        <v>53.84</v>
      </c>
      <c r="H19">
        <v>199.36</v>
      </c>
      <c r="I19">
        <v>74.180000000000007</v>
      </c>
      <c r="J19">
        <v>299.25</v>
      </c>
      <c r="K19">
        <v>114.81</v>
      </c>
    </row>
    <row r="20" spans="1:11" x14ac:dyDescent="0.3">
      <c r="A20" t="s">
        <v>112</v>
      </c>
      <c r="B20">
        <v>48.75</v>
      </c>
      <c r="C20">
        <v>13.18</v>
      </c>
      <c r="D20">
        <v>98.02</v>
      </c>
      <c r="E20">
        <v>32.89</v>
      </c>
      <c r="F20">
        <v>148.91</v>
      </c>
      <c r="G20">
        <v>53.36</v>
      </c>
      <c r="H20">
        <v>198.53</v>
      </c>
      <c r="I20">
        <v>73.45</v>
      </c>
      <c r="J20">
        <v>298.87</v>
      </c>
      <c r="K20">
        <v>113.91</v>
      </c>
    </row>
    <row r="21" spans="1:11" x14ac:dyDescent="0.3">
      <c r="A21" t="s">
        <v>113</v>
      </c>
      <c r="B21">
        <v>48.85</v>
      </c>
      <c r="C21">
        <v>13.3</v>
      </c>
      <c r="D21">
        <v>98.24</v>
      </c>
      <c r="E21">
        <v>33.06</v>
      </c>
      <c r="F21">
        <v>149.59</v>
      </c>
      <c r="G21">
        <v>53.63</v>
      </c>
      <c r="H21">
        <v>199.46</v>
      </c>
      <c r="I21">
        <v>73.8</v>
      </c>
      <c r="J21">
        <v>299.73</v>
      </c>
      <c r="K21">
        <v>114.33</v>
      </c>
    </row>
    <row r="22" spans="1:11" x14ac:dyDescent="0.3">
      <c r="A22" t="s">
        <v>114</v>
      </c>
      <c r="B22">
        <v>48.06</v>
      </c>
      <c r="C22">
        <v>12.94</v>
      </c>
      <c r="D22">
        <v>98.72</v>
      </c>
      <c r="E22">
        <v>33.049999999999997</v>
      </c>
      <c r="F22">
        <v>149.13</v>
      </c>
      <c r="G22">
        <v>53.2</v>
      </c>
      <c r="H22">
        <v>199.65</v>
      </c>
      <c r="I22">
        <v>73.41</v>
      </c>
      <c r="J22">
        <v>298.99</v>
      </c>
      <c r="K22">
        <v>113.35</v>
      </c>
    </row>
    <row r="23" spans="1:11" x14ac:dyDescent="0.3">
      <c r="A23" t="s">
        <v>115</v>
      </c>
      <c r="B23">
        <v>48.64</v>
      </c>
      <c r="C23">
        <v>13.18</v>
      </c>
      <c r="D23">
        <v>98.27</v>
      </c>
      <c r="E23">
        <v>33.130000000000003</v>
      </c>
      <c r="F23">
        <v>149.47</v>
      </c>
      <c r="G23">
        <v>53.66</v>
      </c>
      <c r="H23">
        <v>199.23</v>
      </c>
      <c r="I23">
        <v>73.7</v>
      </c>
      <c r="J23">
        <v>298.45999999999998</v>
      </c>
      <c r="K23">
        <v>113.7</v>
      </c>
    </row>
    <row r="24" spans="1:11" x14ac:dyDescent="0.3">
      <c r="A24" t="s">
        <v>116</v>
      </c>
      <c r="B24">
        <v>48.73</v>
      </c>
      <c r="C24">
        <v>13.02</v>
      </c>
      <c r="D24">
        <v>98.72</v>
      </c>
      <c r="E24">
        <v>32.85</v>
      </c>
      <c r="F24">
        <v>148.51</v>
      </c>
      <c r="G24">
        <v>52.69</v>
      </c>
      <c r="H24">
        <v>198.25</v>
      </c>
      <c r="I24">
        <v>72.900000000000006</v>
      </c>
      <c r="J24">
        <v>298.04000000000002</v>
      </c>
      <c r="K24">
        <v>112.9</v>
      </c>
    </row>
    <row r="25" spans="1:11" x14ac:dyDescent="0.3">
      <c r="A25" t="s">
        <v>117</v>
      </c>
      <c r="B25">
        <v>48.14</v>
      </c>
      <c r="C25">
        <v>13.01</v>
      </c>
      <c r="D25">
        <v>99.39</v>
      </c>
      <c r="E25">
        <v>33.54</v>
      </c>
      <c r="F25">
        <v>148.63999999999999</v>
      </c>
      <c r="G25">
        <v>53.54</v>
      </c>
      <c r="H25">
        <v>199.66</v>
      </c>
      <c r="I25">
        <v>74.37</v>
      </c>
      <c r="J25">
        <v>298.11</v>
      </c>
      <c r="K25">
        <v>114.42</v>
      </c>
    </row>
    <row r="26" spans="1:11" x14ac:dyDescent="0.3">
      <c r="A26" t="s">
        <v>118</v>
      </c>
      <c r="B26">
        <v>48.23</v>
      </c>
      <c r="C26">
        <v>12.89</v>
      </c>
      <c r="D26">
        <v>98.07</v>
      </c>
      <c r="E26">
        <v>32.69</v>
      </c>
      <c r="F26">
        <v>149.35</v>
      </c>
      <c r="G26">
        <v>53.18</v>
      </c>
      <c r="H26">
        <v>199.34</v>
      </c>
      <c r="I26">
        <v>73.430000000000007</v>
      </c>
      <c r="J26">
        <v>298.43</v>
      </c>
      <c r="K26">
        <v>113.39</v>
      </c>
    </row>
    <row r="27" spans="1:11" x14ac:dyDescent="0.3">
      <c r="A27" t="s">
        <v>119</v>
      </c>
      <c r="B27">
        <v>48.45</v>
      </c>
      <c r="C27">
        <v>13.31</v>
      </c>
      <c r="D27">
        <v>98.66</v>
      </c>
      <c r="E27">
        <v>33.42</v>
      </c>
      <c r="F27">
        <v>148.69</v>
      </c>
      <c r="G27">
        <v>53.53</v>
      </c>
      <c r="H27">
        <v>199.02</v>
      </c>
      <c r="I27">
        <v>74.150000000000006</v>
      </c>
      <c r="J27">
        <v>298.97000000000003</v>
      </c>
      <c r="K27">
        <v>114.72</v>
      </c>
    </row>
    <row r="28" spans="1:11" x14ac:dyDescent="0.3">
      <c r="A28" t="s">
        <v>120</v>
      </c>
      <c r="B28">
        <v>48.17</v>
      </c>
      <c r="C28">
        <v>13.1</v>
      </c>
      <c r="D28">
        <v>98.58</v>
      </c>
      <c r="E28">
        <v>33.229999999999997</v>
      </c>
      <c r="F28">
        <v>148.96</v>
      </c>
      <c r="G28">
        <v>53.35</v>
      </c>
      <c r="H28">
        <v>199.19</v>
      </c>
      <c r="I28">
        <v>73.77</v>
      </c>
      <c r="J28">
        <v>298.39999999999998</v>
      </c>
      <c r="K28">
        <v>113.81</v>
      </c>
    </row>
    <row r="29" spans="1:11" x14ac:dyDescent="0.3">
      <c r="A29" t="s">
        <v>121</v>
      </c>
      <c r="B29">
        <v>48.18</v>
      </c>
      <c r="C29">
        <v>13.61</v>
      </c>
      <c r="D29">
        <v>99.28</v>
      </c>
      <c r="E29">
        <v>33.880000000000003</v>
      </c>
      <c r="F29">
        <v>149.16</v>
      </c>
      <c r="G29">
        <v>54.13</v>
      </c>
      <c r="H29">
        <v>198.76</v>
      </c>
      <c r="I29">
        <v>74.09</v>
      </c>
      <c r="J29">
        <v>299.13</v>
      </c>
      <c r="K29">
        <v>114.65</v>
      </c>
    </row>
    <row r="30" spans="1:11" x14ac:dyDescent="0.3">
      <c r="A30" t="s">
        <v>122</v>
      </c>
      <c r="B30">
        <v>48.51</v>
      </c>
      <c r="C30">
        <v>13.16</v>
      </c>
      <c r="D30">
        <v>98.22</v>
      </c>
      <c r="E30">
        <v>32.799999999999997</v>
      </c>
      <c r="F30">
        <v>148.80000000000001</v>
      </c>
      <c r="G30">
        <v>53.16</v>
      </c>
      <c r="H30">
        <v>199.28</v>
      </c>
      <c r="I30">
        <v>73.430000000000007</v>
      </c>
      <c r="J30">
        <v>298.45</v>
      </c>
      <c r="K30">
        <v>113.42</v>
      </c>
    </row>
    <row r="31" spans="1:11" x14ac:dyDescent="0.3">
      <c r="A31" t="s">
        <v>123</v>
      </c>
      <c r="B31">
        <v>48.58</v>
      </c>
      <c r="C31">
        <v>12.54</v>
      </c>
      <c r="D31">
        <v>98.33</v>
      </c>
      <c r="E31">
        <v>32.479999999999997</v>
      </c>
      <c r="F31">
        <v>149.12</v>
      </c>
      <c r="G31">
        <v>52.73</v>
      </c>
      <c r="H31">
        <v>198.73</v>
      </c>
      <c r="I31">
        <v>72.739999999999995</v>
      </c>
      <c r="J31">
        <v>299.27</v>
      </c>
      <c r="K31">
        <v>113.59</v>
      </c>
    </row>
    <row r="32" spans="1:11" x14ac:dyDescent="0.3">
      <c r="A32" s="2" t="s">
        <v>19</v>
      </c>
      <c r="B32" s="6">
        <f t="shared" ref="B32:K32" si="0">AVERAGE(B2:B31)</f>
        <v>48.429666666666677</v>
      </c>
      <c r="C32" s="6">
        <f t="shared" si="0"/>
        <v>13.100666666666667</v>
      </c>
      <c r="D32" s="6">
        <f t="shared" si="0"/>
        <v>98.60199999999999</v>
      </c>
      <c r="E32" s="6">
        <f t="shared" si="0"/>
        <v>33.153999999999996</v>
      </c>
      <c r="F32" s="6">
        <f t="shared" si="0"/>
        <v>148.87900000000002</v>
      </c>
      <c r="G32" s="6">
        <f t="shared" si="0"/>
        <v>53.373666666666672</v>
      </c>
      <c r="H32" s="6">
        <f t="shared" si="0"/>
        <v>199.11999999999998</v>
      </c>
      <c r="I32" s="6">
        <f t="shared" si="0"/>
        <v>73.701666666666668</v>
      </c>
      <c r="J32" s="6">
        <f t="shared" si="0"/>
        <v>298.8963333333333</v>
      </c>
      <c r="K32" s="6">
        <f t="shared" si="0"/>
        <v>114.03433333333332</v>
      </c>
    </row>
    <row r="33" spans="1:11" x14ac:dyDescent="0.3">
      <c r="A33" s="2" t="s">
        <v>33</v>
      </c>
      <c r="B33">
        <f t="shared" ref="B33:K33" si="1">STDEV(B2:B31)</f>
        <v>0.25097717073448134</v>
      </c>
      <c r="C33">
        <f t="shared" si="1"/>
        <v>0.24254304038001503</v>
      </c>
      <c r="D33">
        <f t="shared" si="1"/>
        <v>0.4466997757500823</v>
      </c>
      <c r="E33">
        <f t="shared" si="1"/>
        <v>0.35794046894748477</v>
      </c>
      <c r="F33">
        <f t="shared" si="1"/>
        <v>0.53333918818625614</v>
      </c>
      <c r="G33">
        <f t="shared" si="1"/>
        <v>0.36190571579685943</v>
      </c>
      <c r="H33">
        <f t="shared" si="1"/>
        <v>0.52781266269061089</v>
      </c>
      <c r="I33">
        <f t="shared" si="1"/>
        <v>0.47814356041655093</v>
      </c>
      <c r="J33">
        <f t="shared" si="1"/>
        <v>0.62652563220996049</v>
      </c>
      <c r="K33">
        <f t="shared" si="1"/>
        <v>0.59999818007386785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868FF-52A8-41D1-BDE1-41B6ACFAE069}">
  <dimension ref="A1:K33"/>
  <sheetViews>
    <sheetView topLeftCell="A16" workbookViewId="0">
      <selection activeCell="A38" sqref="A38"/>
    </sheetView>
  </sheetViews>
  <sheetFormatPr defaultRowHeight="14.4" x14ac:dyDescent="0.3"/>
  <cols>
    <col min="1" max="1" width="48.886718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124</v>
      </c>
      <c r="B2">
        <v>48.84</v>
      </c>
      <c r="C2">
        <v>16.79</v>
      </c>
      <c r="D2">
        <v>98.46</v>
      </c>
      <c r="E2">
        <v>39.89</v>
      </c>
      <c r="F2">
        <v>149.24</v>
      </c>
      <c r="G2">
        <v>63.85</v>
      </c>
      <c r="H2">
        <v>198.91</v>
      </c>
      <c r="I2">
        <v>87.05</v>
      </c>
      <c r="J2">
        <v>299.33999999999997</v>
      </c>
      <c r="K2">
        <v>134.08000000000001</v>
      </c>
    </row>
    <row r="3" spans="1:11" x14ac:dyDescent="0.3">
      <c r="A3" t="s">
        <v>125</v>
      </c>
      <c r="B3">
        <v>48.12</v>
      </c>
      <c r="C3">
        <v>16.12</v>
      </c>
      <c r="D3">
        <v>98.56</v>
      </c>
      <c r="E3">
        <v>39.61</v>
      </c>
      <c r="F3">
        <v>149.30000000000001</v>
      </c>
      <c r="G3">
        <v>63.38</v>
      </c>
      <c r="H3">
        <v>199.04</v>
      </c>
      <c r="I3">
        <v>86.62</v>
      </c>
      <c r="J3">
        <v>298.35000000000002</v>
      </c>
      <c r="K3">
        <v>133.13</v>
      </c>
    </row>
    <row r="4" spans="1:11" x14ac:dyDescent="0.3">
      <c r="A4" t="s">
        <v>126</v>
      </c>
      <c r="B4">
        <v>48.62</v>
      </c>
      <c r="C4">
        <v>16.12</v>
      </c>
      <c r="D4">
        <v>98.87</v>
      </c>
      <c r="E4">
        <v>39.54</v>
      </c>
      <c r="F4">
        <v>148.72</v>
      </c>
      <c r="G4">
        <v>63.05</v>
      </c>
      <c r="H4">
        <v>198.34</v>
      </c>
      <c r="I4">
        <v>86.48</v>
      </c>
      <c r="J4">
        <v>299.52</v>
      </c>
      <c r="K4">
        <v>134.01</v>
      </c>
    </row>
    <row r="5" spans="1:11" x14ac:dyDescent="0.3">
      <c r="A5" t="s">
        <v>127</v>
      </c>
      <c r="B5">
        <v>48.02</v>
      </c>
      <c r="C5">
        <v>16.43</v>
      </c>
      <c r="D5">
        <v>98.12</v>
      </c>
      <c r="E5">
        <v>39.6</v>
      </c>
      <c r="F5">
        <v>148.13</v>
      </c>
      <c r="G5">
        <v>63.2</v>
      </c>
      <c r="H5">
        <v>199.01</v>
      </c>
      <c r="I5">
        <v>86.97</v>
      </c>
      <c r="J5">
        <v>298.81</v>
      </c>
      <c r="K5">
        <v>133.41999999999999</v>
      </c>
    </row>
    <row r="6" spans="1:11" x14ac:dyDescent="0.3">
      <c r="A6" t="s">
        <v>128</v>
      </c>
      <c r="B6">
        <v>48.36</v>
      </c>
      <c r="C6">
        <v>16.34</v>
      </c>
      <c r="D6">
        <v>98.08</v>
      </c>
      <c r="E6">
        <v>39.49</v>
      </c>
      <c r="F6">
        <v>149.07</v>
      </c>
      <c r="G6">
        <v>63.51</v>
      </c>
      <c r="H6">
        <v>199.53</v>
      </c>
      <c r="I6">
        <v>87.36</v>
      </c>
      <c r="J6">
        <v>298.08</v>
      </c>
      <c r="K6">
        <v>133.71</v>
      </c>
    </row>
    <row r="7" spans="1:11" x14ac:dyDescent="0.3">
      <c r="A7" t="s">
        <v>129</v>
      </c>
      <c r="B7">
        <v>48.08</v>
      </c>
      <c r="C7">
        <v>16.32</v>
      </c>
      <c r="D7">
        <v>98.33</v>
      </c>
      <c r="E7">
        <v>39.86</v>
      </c>
      <c r="F7">
        <v>148.49</v>
      </c>
      <c r="G7">
        <v>63.5</v>
      </c>
      <c r="H7">
        <v>198.14</v>
      </c>
      <c r="I7">
        <v>86.98</v>
      </c>
      <c r="J7">
        <v>299.58999999999997</v>
      </c>
      <c r="K7">
        <v>134.32</v>
      </c>
    </row>
    <row r="8" spans="1:11" x14ac:dyDescent="0.3">
      <c r="A8" t="s">
        <v>130</v>
      </c>
      <c r="B8">
        <v>48.48</v>
      </c>
      <c r="C8">
        <v>16.440000000000001</v>
      </c>
      <c r="D8">
        <v>98.86</v>
      </c>
      <c r="E8">
        <v>39.76</v>
      </c>
      <c r="F8">
        <v>148.78</v>
      </c>
      <c r="G8">
        <v>63.42</v>
      </c>
      <c r="H8">
        <v>198.76</v>
      </c>
      <c r="I8">
        <v>87.07</v>
      </c>
      <c r="J8">
        <v>299.36</v>
      </c>
      <c r="K8">
        <v>134.34</v>
      </c>
    </row>
    <row r="9" spans="1:11" x14ac:dyDescent="0.3">
      <c r="A9" t="s">
        <v>131</v>
      </c>
      <c r="B9">
        <v>48.74</v>
      </c>
      <c r="C9">
        <v>16.52</v>
      </c>
      <c r="D9">
        <v>98.68</v>
      </c>
      <c r="E9">
        <v>39.67</v>
      </c>
      <c r="F9">
        <v>148.38999999999999</v>
      </c>
      <c r="G9">
        <v>62.99</v>
      </c>
      <c r="H9">
        <v>199.44</v>
      </c>
      <c r="I9">
        <v>86.86</v>
      </c>
      <c r="J9">
        <v>299.64</v>
      </c>
      <c r="K9">
        <v>133.58000000000001</v>
      </c>
    </row>
    <row r="10" spans="1:11" x14ac:dyDescent="0.3">
      <c r="A10" t="s">
        <v>132</v>
      </c>
      <c r="B10">
        <v>48.64</v>
      </c>
      <c r="C10">
        <v>16.579999999999998</v>
      </c>
      <c r="D10">
        <v>98.72</v>
      </c>
      <c r="E10">
        <v>40.130000000000003</v>
      </c>
      <c r="F10">
        <v>149.33000000000001</v>
      </c>
      <c r="G10">
        <v>63.99</v>
      </c>
      <c r="H10">
        <v>199.59</v>
      </c>
      <c r="I10">
        <v>87.98</v>
      </c>
      <c r="J10">
        <v>299.73</v>
      </c>
      <c r="K10">
        <v>135.12</v>
      </c>
    </row>
    <row r="11" spans="1:11" x14ac:dyDescent="0.3">
      <c r="A11" t="s">
        <v>133</v>
      </c>
      <c r="B11">
        <v>48.14</v>
      </c>
      <c r="C11">
        <v>16.399999999999999</v>
      </c>
      <c r="D11">
        <v>98.88</v>
      </c>
      <c r="E11">
        <v>39.880000000000003</v>
      </c>
      <c r="F11">
        <v>149.29</v>
      </c>
      <c r="G11">
        <v>63.23</v>
      </c>
      <c r="H11">
        <v>198.7</v>
      </c>
      <c r="I11">
        <v>86.51</v>
      </c>
      <c r="J11">
        <v>298.98</v>
      </c>
      <c r="K11">
        <v>133.43</v>
      </c>
    </row>
    <row r="12" spans="1:11" x14ac:dyDescent="0.3">
      <c r="A12" t="s">
        <v>134</v>
      </c>
      <c r="B12">
        <v>48.19</v>
      </c>
      <c r="C12">
        <v>16.3</v>
      </c>
      <c r="D12">
        <v>99.19</v>
      </c>
      <c r="E12">
        <v>40.21</v>
      </c>
      <c r="F12">
        <v>148</v>
      </c>
      <c r="G12">
        <v>63.28</v>
      </c>
      <c r="H12">
        <v>199.67</v>
      </c>
      <c r="I12">
        <v>87.64</v>
      </c>
      <c r="J12">
        <v>299.02</v>
      </c>
      <c r="K12">
        <v>134.66</v>
      </c>
    </row>
    <row r="13" spans="1:11" x14ac:dyDescent="0.3">
      <c r="A13" t="s">
        <v>135</v>
      </c>
      <c r="B13">
        <v>48.7</v>
      </c>
      <c r="C13">
        <v>16.149999999999999</v>
      </c>
      <c r="D13">
        <v>98.46</v>
      </c>
      <c r="E13">
        <v>39.200000000000003</v>
      </c>
      <c r="F13">
        <v>149.44999999999999</v>
      </c>
      <c r="G13">
        <v>63.18</v>
      </c>
      <c r="H13">
        <v>199.31</v>
      </c>
      <c r="I13">
        <v>86.62</v>
      </c>
      <c r="J13">
        <v>298.98</v>
      </c>
      <c r="K13">
        <v>133.06</v>
      </c>
    </row>
    <row r="14" spans="1:11" x14ac:dyDescent="0.3">
      <c r="A14" t="s">
        <v>136</v>
      </c>
      <c r="B14">
        <v>48.05</v>
      </c>
      <c r="C14">
        <v>16.13</v>
      </c>
      <c r="D14">
        <v>98.01</v>
      </c>
      <c r="E14">
        <v>39.270000000000003</v>
      </c>
      <c r="F14">
        <v>148.99</v>
      </c>
      <c r="G14">
        <v>63.26</v>
      </c>
      <c r="H14">
        <v>198.37</v>
      </c>
      <c r="I14">
        <v>86.57</v>
      </c>
      <c r="J14">
        <v>298.94</v>
      </c>
      <c r="K14">
        <v>133.91999999999999</v>
      </c>
    </row>
    <row r="15" spans="1:11" x14ac:dyDescent="0.3">
      <c r="A15" t="s">
        <v>137</v>
      </c>
      <c r="B15">
        <v>48.82</v>
      </c>
      <c r="C15">
        <v>16.559999999999999</v>
      </c>
      <c r="D15">
        <v>98.63</v>
      </c>
      <c r="E15">
        <v>39.81</v>
      </c>
      <c r="F15">
        <v>148.53</v>
      </c>
      <c r="G15">
        <v>63.45</v>
      </c>
      <c r="H15">
        <v>198.14</v>
      </c>
      <c r="I15">
        <v>86.79</v>
      </c>
      <c r="J15">
        <v>299.48</v>
      </c>
      <c r="K15">
        <v>134.35</v>
      </c>
    </row>
    <row r="16" spans="1:11" x14ac:dyDescent="0.3">
      <c r="A16" t="s">
        <v>138</v>
      </c>
      <c r="B16">
        <v>48.64</v>
      </c>
      <c r="C16">
        <v>16.53</v>
      </c>
      <c r="D16">
        <v>98.77</v>
      </c>
      <c r="E16">
        <v>39.78</v>
      </c>
      <c r="F16">
        <v>149.52000000000001</v>
      </c>
      <c r="G16">
        <v>63.68</v>
      </c>
      <c r="H16">
        <v>198.67</v>
      </c>
      <c r="I16">
        <v>86.89</v>
      </c>
      <c r="J16">
        <v>299.5</v>
      </c>
      <c r="K16">
        <v>134.02000000000001</v>
      </c>
    </row>
    <row r="17" spans="1:11" x14ac:dyDescent="0.3">
      <c r="A17" t="s">
        <v>139</v>
      </c>
      <c r="B17">
        <v>48.52</v>
      </c>
      <c r="C17">
        <v>16.489999999999998</v>
      </c>
      <c r="D17">
        <v>98.91</v>
      </c>
      <c r="E17">
        <v>39.93</v>
      </c>
      <c r="F17">
        <v>148.96</v>
      </c>
      <c r="G17">
        <v>63.3</v>
      </c>
      <c r="H17">
        <v>198.45</v>
      </c>
      <c r="I17">
        <v>86.59</v>
      </c>
      <c r="J17">
        <v>298.49</v>
      </c>
      <c r="K17">
        <v>133.46</v>
      </c>
    </row>
    <row r="18" spans="1:11" x14ac:dyDescent="0.3">
      <c r="A18" t="s">
        <v>140</v>
      </c>
      <c r="B18">
        <v>48.19</v>
      </c>
      <c r="C18">
        <v>16.010000000000002</v>
      </c>
      <c r="D18">
        <v>99.26</v>
      </c>
      <c r="E18">
        <v>39.840000000000003</v>
      </c>
      <c r="F18">
        <v>149.65</v>
      </c>
      <c r="G18">
        <v>63.52</v>
      </c>
      <c r="H18">
        <v>198.52</v>
      </c>
      <c r="I18">
        <v>86.69</v>
      </c>
      <c r="J18">
        <v>298.35000000000002</v>
      </c>
      <c r="K18">
        <v>133.51</v>
      </c>
    </row>
    <row r="19" spans="1:11" x14ac:dyDescent="0.3">
      <c r="A19" t="s">
        <v>141</v>
      </c>
      <c r="B19">
        <v>48.78</v>
      </c>
      <c r="C19">
        <v>16.62</v>
      </c>
      <c r="D19">
        <v>98.95</v>
      </c>
      <c r="E19">
        <v>39.74</v>
      </c>
      <c r="F19">
        <v>149.25</v>
      </c>
      <c r="G19">
        <v>63.43</v>
      </c>
      <c r="H19">
        <v>198.91</v>
      </c>
      <c r="I19">
        <v>86.78</v>
      </c>
      <c r="J19">
        <v>299.32</v>
      </c>
      <c r="K19">
        <v>133.53</v>
      </c>
    </row>
    <row r="20" spans="1:11" x14ac:dyDescent="0.3">
      <c r="A20" t="s">
        <v>142</v>
      </c>
      <c r="B20">
        <v>48.36</v>
      </c>
      <c r="C20">
        <v>16.39</v>
      </c>
      <c r="D20">
        <v>98.54</v>
      </c>
      <c r="E20">
        <v>39.83</v>
      </c>
      <c r="F20">
        <v>148.43</v>
      </c>
      <c r="G20">
        <v>63.23</v>
      </c>
      <c r="H20">
        <v>198.77</v>
      </c>
      <c r="I20">
        <v>86.96</v>
      </c>
      <c r="J20">
        <v>299.5</v>
      </c>
      <c r="K20">
        <v>134.22999999999999</v>
      </c>
    </row>
    <row r="21" spans="1:11" x14ac:dyDescent="0.3">
      <c r="A21" t="s">
        <v>143</v>
      </c>
      <c r="B21">
        <v>48.04</v>
      </c>
      <c r="C21">
        <v>16.39</v>
      </c>
      <c r="D21">
        <v>98.93</v>
      </c>
      <c r="E21">
        <v>40.15</v>
      </c>
      <c r="F21">
        <v>149.44</v>
      </c>
      <c r="G21">
        <v>64.040000000000006</v>
      </c>
      <c r="H21">
        <v>198.78</v>
      </c>
      <c r="I21">
        <v>87.29</v>
      </c>
      <c r="J21">
        <v>298.56</v>
      </c>
      <c r="K21">
        <v>134</v>
      </c>
    </row>
    <row r="22" spans="1:11" x14ac:dyDescent="0.3">
      <c r="A22" t="s">
        <v>144</v>
      </c>
      <c r="B22">
        <v>48.8</v>
      </c>
      <c r="C22">
        <v>16.82</v>
      </c>
      <c r="D22">
        <v>98.34</v>
      </c>
      <c r="E22">
        <v>40.049999999999997</v>
      </c>
      <c r="F22">
        <v>148.63</v>
      </c>
      <c r="G22">
        <v>63.87</v>
      </c>
      <c r="H22">
        <v>199.04</v>
      </c>
      <c r="I22">
        <v>87.76</v>
      </c>
      <c r="J22">
        <v>298.08999999999997</v>
      </c>
      <c r="K22">
        <v>134.56</v>
      </c>
    </row>
    <row r="23" spans="1:11" x14ac:dyDescent="0.3">
      <c r="A23" t="s">
        <v>145</v>
      </c>
      <c r="B23">
        <v>48.38</v>
      </c>
      <c r="C23">
        <v>15.93</v>
      </c>
      <c r="D23">
        <v>98.14</v>
      </c>
      <c r="E23">
        <v>39.020000000000003</v>
      </c>
      <c r="F23">
        <v>149.13999999999999</v>
      </c>
      <c r="G23">
        <v>62.92</v>
      </c>
      <c r="H23">
        <v>199.3</v>
      </c>
      <c r="I23">
        <v>86.55</v>
      </c>
      <c r="J23">
        <v>298.45</v>
      </c>
      <c r="K23">
        <v>132.87</v>
      </c>
    </row>
    <row r="24" spans="1:11" x14ac:dyDescent="0.3">
      <c r="A24" t="s">
        <v>146</v>
      </c>
      <c r="B24">
        <v>48.05</v>
      </c>
      <c r="C24">
        <v>16.55</v>
      </c>
      <c r="D24">
        <v>99.23</v>
      </c>
      <c r="E24">
        <v>40.380000000000003</v>
      </c>
      <c r="F24">
        <v>149.1</v>
      </c>
      <c r="G24">
        <v>63.73</v>
      </c>
      <c r="H24">
        <v>199.28</v>
      </c>
      <c r="I24">
        <v>87.43</v>
      </c>
      <c r="J24">
        <v>299.45</v>
      </c>
      <c r="K24">
        <v>134.37</v>
      </c>
    </row>
    <row r="25" spans="1:11" x14ac:dyDescent="0.3">
      <c r="A25" t="s">
        <v>147</v>
      </c>
      <c r="B25">
        <v>48.65</v>
      </c>
      <c r="C25">
        <v>16.53</v>
      </c>
      <c r="D25">
        <v>98.7</v>
      </c>
      <c r="E25">
        <v>39.64</v>
      </c>
      <c r="F25">
        <v>149.38</v>
      </c>
      <c r="G25">
        <v>63.48</v>
      </c>
      <c r="H25">
        <v>198.98</v>
      </c>
      <c r="I25">
        <v>86.78</v>
      </c>
      <c r="J25">
        <v>298.33</v>
      </c>
      <c r="K25">
        <v>133.22</v>
      </c>
    </row>
    <row r="26" spans="1:11" x14ac:dyDescent="0.3">
      <c r="A26" t="s">
        <v>148</v>
      </c>
      <c r="B26">
        <v>48.67</v>
      </c>
      <c r="C26">
        <v>16.36</v>
      </c>
      <c r="D26">
        <v>98.28</v>
      </c>
      <c r="E26">
        <v>39.549999999999997</v>
      </c>
      <c r="F26">
        <v>149.24</v>
      </c>
      <c r="G26">
        <v>63.53</v>
      </c>
      <c r="H26">
        <v>199.14</v>
      </c>
      <c r="I26">
        <v>87.14</v>
      </c>
      <c r="J26">
        <v>299.5</v>
      </c>
      <c r="K26">
        <v>134.07</v>
      </c>
    </row>
    <row r="27" spans="1:11" x14ac:dyDescent="0.3">
      <c r="A27" t="s">
        <v>149</v>
      </c>
      <c r="B27">
        <v>48.11</v>
      </c>
      <c r="C27">
        <v>16.100000000000001</v>
      </c>
      <c r="D27">
        <v>98.7</v>
      </c>
      <c r="E27">
        <v>39.67</v>
      </c>
      <c r="F27">
        <v>148.91</v>
      </c>
      <c r="G27">
        <v>63.51</v>
      </c>
      <c r="H27">
        <v>198.35</v>
      </c>
      <c r="I27">
        <v>86.8</v>
      </c>
      <c r="J27">
        <v>299.39999999999998</v>
      </c>
      <c r="K27">
        <v>134.1</v>
      </c>
    </row>
    <row r="28" spans="1:11" x14ac:dyDescent="0.3">
      <c r="A28" t="s">
        <v>150</v>
      </c>
      <c r="B28">
        <v>48.3</v>
      </c>
      <c r="C28">
        <v>16.22</v>
      </c>
      <c r="D28">
        <v>98.42</v>
      </c>
      <c r="E28">
        <v>39.39</v>
      </c>
      <c r="F28">
        <v>148.83000000000001</v>
      </c>
      <c r="G28">
        <v>63.05</v>
      </c>
      <c r="H28">
        <v>198.16</v>
      </c>
      <c r="I28">
        <v>86.36</v>
      </c>
      <c r="J28">
        <v>299.54000000000002</v>
      </c>
      <c r="K28">
        <v>133.59</v>
      </c>
    </row>
    <row r="29" spans="1:11" x14ac:dyDescent="0.3">
      <c r="A29" t="s">
        <v>151</v>
      </c>
      <c r="B29">
        <v>48.11</v>
      </c>
      <c r="C29">
        <v>16.11</v>
      </c>
      <c r="D29">
        <v>98.6</v>
      </c>
      <c r="E29">
        <v>39.590000000000003</v>
      </c>
      <c r="F29">
        <v>149.21</v>
      </c>
      <c r="G29">
        <v>63.26</v>
      </c>
      <c r="H29">
        <v>198.95</v>
      </c>
      <c r="I29">
        <v>86.73</v>
      </c>
      <c r="J29">
        <v>298.82</v>
      </c>
      <c r="K29">
        <v>133.38999999999999</v>
      </c>
    </row>
    <row r="30" spans="1:11" x14ac:dyDescent="0.3">
      <c r="A30" t="s">
        <v>152</v>
      </c>
      <c r="B30">
        <v>48.17</v>
      </c>
      <c r="C30">
        <v>16</v>
      </c>
      <c r="D30">
        <v>99.03</v>
      </c>
      <c r="E30">
        <v>39.659999999999997</v>
      </c>
      <c r="F30">
        <v>149.21</v>
      </c>
      <c r="G30">
        <v>63.4</v>
      </c>
      <c r="H30">
        <v>198.31</v>
      </c>
      <c r="I30">
        <v>86.73</v>
      </c>
      <c r="J30">
        <v>298.68</v>
      </c>
      <c r="K30">
        <v>133.9</v>
      </c>
    </row>
    <row r="31" spans="1:11" x14ac:dyDescent="0.3">
      <c r="A31" t="s">
        <v>153</v>
      </c>
      <c r="B31">
        <v>48.69</v>
      </c>
      <c r="C31">
        <v>15.29</v>
      </c>
      <c r="D31">
        <v>98.64</v>
      </c>
      <c r="E31">
        <v>38.659999999999997</v>
      </c>
      <c r="F31">
        <v>149.22</v>
      </c>
      <c r="G31">
        <v>62.45</v>
      </c>
      <c r="H31">
        <v>198.85</v>
      </c>
      <c r="I31">
        <v>85.81</v>
      </c>
      <c r="J31">
        <v>298.98</v>
      </c>
      <c r="K31">
        <v>132.88</v>
      </c>
    </row>
    <row r="32" spans="1:11" x14ac:dyDescent="0.3">
      <c r="A32" s="2" t="s">
        <v>19</v>
      </c>
      <c r="B32" s="6">
        <f t="shared" ref="B32:K32" si="0">AVERAGE(B2:B31)</f>
        <v>48.408666666666669</v>
      </c>
      <c r="C32" s="6">
        <f t="shared" si="0"/>
        <v>16.318000000000005</v>
      </c>
      <c r="D32" s="6">
        <f t="shared" si="0"/>
        <v>98.643000000000001</v>
      </c>
      <c r="E32" s="6">
        <f t="shared" si="0"/>
        <v>39.693333333333342</v>
      </c>
      <c r="F32" s="6">
        <f t="shared" si="0"/>
        <v>148.99433333333334</v>
      </c>
      <c r="G32" s="6">
        <f t="shared" si="0"/>
        <v>63.38966666666667</v>
      </c>
      <c r="H32" s="6">
        <f t="shared" si="0"/>
        <v>198.84700000000001</v>
      </c>
      <c r="I32" s="6">
        <f t="shared" si="0"/>
        <v>86.893000000000001</v>
      </c>
      <c r="J32" s="6">
        <f t="shared" si="0"/>
        <v>299.02599999999995</v>
      </c>
      <c r="K32" s="6">
        <f t="shared" si="0"/>
        <v>133.82766666666666</v>
      </c>
    </row>
    <row r="33" spans="1:11" x14ac:dyDescent="0.3">
      <c r="A33" s="2" t="s">
        <v>33</v>
      </c>
      <c r="B33">
        <f t="shared" ref="B33:K33" si="1">STDEV(B2:B31)</f>
        <v>0.2859917208029219</v>
      </c>
      <c r="C33">
        <f t="shared" si="1"/>
        <v>0.29942934230713386</v>
      </c>
      <c r="D33">
        <f t="shared" si="1"/>
        <v>0.33778334210984512</v>
      </c>
      <c r="E33">
        <f t="shared" si="1"/>
        <v>0.35441387586027007</v>
      </c>
      <c r="F33">
        <f t="shared" si="1"/>
        <v>0.41942229014594024</v>
      </c>
      <c r="G33">
        <f t="shared" si="1"/>
        <v>0.33203119227518113</v>
      </c>
      <c r="H33">
        <f t="shared" si="1"/>
        <v>0.44352934047486625</v>
      </c>
      <c r="I33">
        <f t="shared" si="1"/>
        <v>0.44208089445414817</v>
      </c>
      <c r="J33">
        <f t="shared" si="1"/>
        <v>0.50594806875396003</v>
      </c>
      <c r="K33">
        <f t="shared" si="1"/>
        <v>0.54696455999000304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515f216-87dd-49a3-acd3-5e502a03be2e">
      <Terms xmlns="http://schemas.microsoft.com/office/infopath/2007/PartnerControls"/>
    </lcf76f155ced4ddcb4097134ff3c332f>
    <TranslatedLang xmlns="a515f216-87dd-49a3-acd3-5e502a03be2e" xsi:nil="true"/>
    <TaxCatchAll xmlns="49919dca-d9c1-492f-bd36-8a887e31a6e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72B8218D9EAE341A16E712F8FF4A3E2" ma:contentTypeVersion="21" ma:contentTypeDescription="Create a new document." ma:contentTypeScope="" ma:versionID="2e6f98cbb1ab737e69b04139c4b42e0d">
  <xsd:schema xmlns:xsd="http://www.w3.org/2001/XMLSchema" xmlns:xs="http://www.w3.org/2001/XMLSchema" xmlns:p="http://schemas.microsoft.com/office/2006/metadata/properties" xmlns:ns2="a515f216-87dd-49a3-acd3-5e502a03be2e" xmlns:ns3="d1377926-35a9-4ae8-a56e-eca77684d575" xmlns:ns4="49919dca-d9c1-492f-bd36-8a887e31a6e3" targetNamespace="http://schemas.microsoft.com/office/2006/metadata/properties" ma:root="true" ma:fieldsID="3eedce836f6b83a543d22db81854312c" ns2:_="" ns3:_="" ns4:_="">
    <xsd:import namespace="a515f216-87dd-49a3-acd3-5e502a03be2e"/>
    <xsd:import namespace="d1377926-35a9-4ae8-a56e-eca77684d575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2:TranslatedLang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15f216-87dd-49a3-acd3-5e502a03be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TranslatedLang" ma:index="26" nillable="true" ma:displayName="Translated Language" ma:internalName="TranslatedLang">
      <xsd:simpleType>
        <xsd:restriction base="dms:Text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377926-35a9-4ae8-a56e-eca77684d575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eed6192e-37f9-46e6-bbef-5e39a351c327}" ma:internalName="TaxCatchAll" ma:showField="CatchAllData" ma:web="d1377926-35a9-4ae8-a56e-eca77684d5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haredContentType xmlns="Microsoft.SharePoint.Taxonomy.ContentTypeSync" SourceId="e40374fb-a6cc-4854-989f-c1d94a7967ee" ContentTypeId="0x01" PreviousValue="false"/>
</file>

<file path=customXml/itemProps1.xml><?xml version="1.0" encoding="utf-8"?>
<ds:datastoreItem xmlns:ds="http://schemas.openxmlformats.org/officeDocument/2006/customXml" ds:itemID="{003AAE0D-0C65-4F25-9FAB-7BB678DC0A2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91C3005-1545-4903-A85B-15B5163B96D3}">
  <ds:schemaRefs>
    <ds:schemaRef ds:uri="http://schemas.microsoft.com/office/2006/metadata/properties"/>
    <ds:schemaRef ds:uri="http://schemas.microsoft.com/office/infopath/2007/PartnerControls"/>
    <ds:schemaRef ds:uri="a515f216-87dd-49a3-acd3-5e502a03be2e"/>
    <ds:schemaRef ds:uri="49919dca-d9c1-492f-bd36-8a887e31a6e3"/>
  </ds:schemaRefs>
</ds:datastoreItem>
</file>

<file path=customXml/itemProps3.xml><?xml version="1.0" encoding="utf-8"?>
<ds:datastoreItem xmlns:ds="http://schemas.openxmlformats.org/officeDocument/2006/customXml" ds:itemID="{928A3A05-AB94-4784-9ADF-73576838BFF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515f216-87dd-49a3-acd3-5e502a03be2e"/>
    <ds:schemaRef ds:uri="d1377926-35a9-4ae8-a56e-eca77684d575"/>
    <ds:schemaRef ds:uri="49919dca-d9c1-492f-bd36-8a887e31a6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B5B6ADE9-6684-45B3-8834-8C9672676D42}">
  <ds:schemaRefs>
    <ds:schemaRef ds:uri="Microsoft.SharePoint.Taxonomy.ContentTypeSync"/>
  </ds:schemaRefs>
</ds:datastoreItem>
</file>

<file path=docMetadata/LabelInfo.xml><?xml version="1.0" encoding="utf-8"?>
<clbl:labelList xmlns:clbl="http://schemas.microsoft.com/office/2020/mipLabelMetadata">
  <clbl:label id="{1a407a2d-7675-4d17-8692-b3ac285306e4}" enabled="0" method="" siteId="{1a407a2d-7675-4d17-8692-b3ac285306e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Comparison</vt:lpstr>
      <vt:lpstr>Concept 1</vt:lpstr>
      <vt:lpstr>Concept 2</vt:lpstr>
      <vt:lpstr>Concept 3</vt:lpstr>
      <vt:lpstr>Reference_A</vt:lpstr>
      <vt:lpstr>Reference_SA</vt:lpstr>
      <vt:lpstr>Reference_LAS</vt:lpstr>
      <vt:lpstr>Reference_LA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Krutti, Elia Michael</cp:lastModifiedBy>
  <dcterms:created xsi:type="dcterms:W3CDTF">2026-10-19T07:10:34Z</dcterms:created>
  <dcterms:modified xsi:type="dcterms:W3CDTF">2026-10-20T14:23:34Z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0x010100672B8218D9EAE341A16E712F8FF4A3E2</vt:lpwstr>
  </property>
  <property fmtid="{D5CDD505-2E9C-101B-9397-08002B2CF9AE}" pid="3" name="MediaServiceImageTags">
    <vt:lpwstr/>
  </property>
</Properties>
</file>